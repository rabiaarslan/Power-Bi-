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 Arslan\Downloads\"/>
    </mc:Choice>
  </mc:AlternateContent>
  <bookViews>
    <workbookView xWindow="0" yWindow="0" windowWidth="19200" windowHeight="7050"/>
  </bookViews>
  <sheets>
    <sheet name="Risk Assessment" sheetId="6" r:id="rId1"/>
  </sheets>
  <definedNames>
    <definedName name="_xlnm._FilterDatabase" localSheetId="0" hidden="1">'Risk Assessment'!$A$1:$K$53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2" i="6"/>
</calcChain>
</file>

<file path=xl/comments1.xml><?xml version="1.0" encoding="utf-8"?>
<comments xmlns="http://schemas.openxmlformats.org/spreadsheetml/2006/main">
  <authors>
    <author>Glisovic, Lazar</author>
  </authors>
  <commentList>
    <comment ref="K1" authorId="0" shapeId="0">
      <text>
        <r>
          <rPr>
            <b/>
            <sz val="12"/>
            <color indexed="81"/>
            <rFont val="Tahoma"/>
            <family val="2"/>
          </rPr>
          <t>Glisovic, Lazar:</t>
        </r>
        <r>
          <rPr>
            <sz val="12"/>
            <color indexed="81"/>
            <rFont val="Tahoma"/>
            <family val="2"/>
          </rPr>
          <t xml:space="preserve">
Likelihood X Impact</t>
        </r>
      </text>
    </comment>
  </commentList>
</comments>
</file>

<file path=xl/sharedStrings.xml><?xml version="1.0" encoding="utf-8"?>
<sst xmlns="http://schemas.openxmlformats.org/spreadsheetml/2006/main" count="271" uniqueCount="91">
  <si>
    <t>Health Plan: Section 1557 Non Discrimation Requirement Compliance</t>
  </si>
  <si>
    <t xml:space="preserve">Health Plan </t>
  </si>
  <si>
    <t xml:space="preserve">Health Plan: Trade Agreement and Buy American Compliance </t>
  </si>
  <si>
    <t xml:space="preserve">Health Plan: Government Contracts - False Claims </t>
  </si>
  <si>
    <t>Health Plan: Government Contracts -  FAR (Federal Acquisition Regulation) Clause Compliance</t>
  </si>
  <si>
    <t xml:space="preserve">Health Plan: State Limitations on Offshoring </t>
  </si>
  <si>
    <t>Health Plan: Exclusion Checks</t>
  </si>
  <si>
    <t xml:space="preserve">Health Plan: ACHC Accreditation </t>
  </si>
  <si>
    <t xml:space="preserve">Royalty Payments </t>
  </si>
  <si>
    <t xml:space="preserve">Healthcare Compliance </t>
  </si>
  <si>
    <t xml:space="preserve">Medical Education: Medline University </t>
  </si>
  <si>
    <t xml:space="preserve">Speaker Programs </t>
  </si>
  <si>
    <t xml:space="preserve">Infection Prevention (Sterilization) </t>
  </si>
  <si>
    <t xml:space="preserve">Healthcare Regulatory </t>
  </si>
  <si>
    <t xml:space="preserve">FDA Regulatory Risks </t>
  </si>
  <si>
    <t xml:space="preserve">Mergers and Acquisition Compliance Integration </t>
  </si>
  <si>
    <t>Healthcare Compliance, Healthcare Operations</t>
  </si>
  <si>
    <t xml:space="preserve">EU Medical Device Regulation </t>
  </si>
  <si>
    <t>510K Certifications</t>
  </si>
  <si>
    <t xml:space="preserve">Independent Contractors </t>
  </si>
  <si>
    <t xml:space="preserve">Training </t>
  </si>
  <si>
    <t xml:space="preserve">Clinical Studies and Research Arrangements  </t>
  </si>
  <si>
    <t>Contract Compliance/Management</t>
  </si>
  <si>
    <t xml:space="preserve">Social Media </t>
  </si>
  <si>
    <t xml:space="preserve">Marketing </t>
  </si>
  <si>
    <t>Conflicts of Interest</t>
  </si>
  <si>
    <t>Healthcare Compliance</t>
  </si>
  <si>
    <t xml:space="preserve">CTPAT Certification </t>
  </si>
  <si>
    <t xml:space="preserve">Operations </t>
  </si>
  <si>
    <t>Harmonized Tariff Code Systems</t>
  </si>
  <si>
    <t>Trade Sanctions Compliance</t>
  </si>
  <si>
    <t>State Transparency Reporting</t>
  </si>
  <si>
    <t>Transparency Reporting</t>
  </si>
  <si>
    <t>Federal Transparency Reporting</t>
  </si>
  <si>
    <t>International Transparency Reporting</t>
  </si>
  <si>
    <t>Online Workforce Training</t>
  </si>
  <si>
    <t>Training</t>
  </si>
  <si>
    <t>Offline Workforce Training</t>
  </si>
  <si>
    <t xml:space="preserve">Sales Compensation Programs </t>
  </si>
  <si>
    <t>Sales Operations</t>
  </si>
  <si>
    <t>Health Plan:  Employee Education</t>
  </si>
  <si>
    <t xml:space="preserve">Health Plan Contract Administration </t>
  </si>
  <si>
    <t xml:space="preserve">Health Plan: Claims Billing and Reimbursement </t>
  </si>
  <si>
    <t xml:space="preserve">Health Plan: Complaints and Grievances </t>
  </si>
  <si>
    <t xml:space="preserve">New/Updated Regulations  </t>
  </si>
  <si>
    <t xml:space="preserve">Investigations (consolidated under Reporting Misconduct) </t>
  </si>
  <si>
    <t>Healthcare Compliance (under Purak)</t>
  </si>
  <si>
    <t>HCP In-services/Meals</t>
  </si>
  <si>
    <t>HCP Contracting</t>
  </si>
  <si>
    <t>Grants</t>
  </si>
  <si>
    <t>Gifts</t>
  </si>
  <si>
    <t xml:space="preserve">Events </t>
  </si>
  <si>
    <t xml:space="preserve">Product Diverters and Reselling </t>
  </si>
  <si>
    <t>Single-use Evaluation Products</t>
  </si>
  <si>
    <t xml:space="preserve">Reporting Misconduct/Investigations </t>
  </si>
  <si>
    <t>Discounts / Rebates</t>
  </si>
  <si>
    <t xml:space="preserve"> HCP Payments</t>
  </si>
  <si>
    <t>Multiple-use Evaluation Products</t>
  </si>
  <si>
    <t>Evaluation/Demonstation Products</t>
  </si>
  <si>
    <t>Contract Sales Staff</t>
  </si>
  <si>
    <t>Charitable Donations</t>
  </si>
  <si>
    <t>ESG</t>
  </si>
  <si>
    <t xml:space="preserve">Environmental, Social and Governance (ESG) </t>
  </si>
  <si>
    <t>ABAC: Interactions with Gov Officials</t>
  </si>
  <si>
    <t xml:space="preserve">ABAC </t>
  </si>
  <si>
    <t>ABAC: Third-party Management</t>
  </si>
  <si>
    <t>ABAC</t>
  </si>
  <si>
    <t>Likelihood Category</t>
  </si>
  <si>
    <t>Likelihood</t>
  </si>
  <si>
    <t xml:space="preserve">Risk  </t>
  </si>
  <si>
    <t>Risk Category</t>
  </si>
  <si>
    <t>Significant</t>
  </si>
  <si>
    <t>Severe</t>
  </si>
  <si>
    <t>Minimal</t>
  </si>
  <si>
    <t>Moderate</t>
  </si>
  <si>
    <t>Limited</t>
  </si>
  <si>
    <t>Fair Chance</t>
  </si>
  <si>
    <t>Very Unlikely</t>
  </si>
  <si>
    <t>Possible</t>
  </si>
  <si>
    <t>Likely</t>
  </si>
  <si>
    <t>Almost Certain</t>
  </si>
  <si>
    <t>Ref ID</t>
  </si>
  <si>
    <t>Impact Category</t>
  </si>
  <si>
    <t>Impact</t>
  </si>
  <si>
    <t>Inherent Risk</t>
  </si>
  <si>
    <t>Control</t>
  </si>
  <si>
    <t>Net Risk</t>
  </si>
  <si>
    <t>No Controls</t>
  </si>
  <si>
    <t>Good</t>
  </si>
  <si>
    <t>Very Strong</t>
  </si>
  <si>
    <t>Control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</si>
</sst>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B05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2" borderId="3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3"/>
  <sheetViews>
    <sheetView tabSelected="1" topLeftCell="D1" zoomScale="95" zoomScaleNormal="95" workbookViewId="0">
      <pane ySplit="1" topLeftCell="A2" activePane="bottomLeft" state="frozen"/>
      <selection pane="bottomLeft" activeCell="H2" sqref="H2"/>
    </sheetView>
  </sheetViews>
  <sheetFormatPr defaultColWidth="36.75" defaultRowHeight="14"/>
  <cols>
    <col min="1" max="1" width="10.75" bestFit="1" customWidth="1"/>
    <col min="2" max="2" width="32.25" bestFit="1" customWidth="1"/>
    <col min="3" max="3" width="57.9140625" bestFit="1" customWidth="1"/>
    <col min="4" max="4" width="7" style="18" bestFit="1" customWidth="1"/>
    <col min="5" max="5" width="18.75" style="18" customWidth="1"/>
    <col min="6" max="6" width="9.6640625" style="18" bestFit="1" customWidth="1"/>
    <col min="7" max="7" width="17.9140625" style="18" customWidth="1"/>
    <col min="8" max="8" width="14.75" style="18" bestFit="1" customWidth="1"/>
    <col min="9" max="9" width="17.6640625" style="18" bestFit="1" customWidth="1"/>
    <col min="10" max="10" width="17.6640625" style="18" customWidth="1"/>
    <col min="11" max="11" width="12" style="18" bestFit="1" customWidth="1"/>
  </cols>
  <sheetData>
    <row r="1" spans="1:11" ht="14.4">
      <c r="A1" s="28" t="s">
        <v>81</v>
      </c>
      <c r="B1" s="27" t="s">
        <v>70</v>
      </c>
      <c r="C1" s="27" t="s">
        <v>69</v>
      </c>
      <c r="D1" s="38" t="s">
        <v>83</v>
      </c>
      <c r="E1" s="38" t="s">
        <v>82</v>
      </c>
      <c r="F1" s="39" t="s">
        <v>68</v>
      </c>
      <c r="G1" s="39" t="s">
        <v>67</v>
      </c>
      <c r="H1" s="36" t="s">
        <v>84</v>
      </c>
      <c r="I1" s="40" t="s">
        <v>85</v>
      </c>
      <c r="J1" s="40" t="s">
        <v>90</v>
      </c>
      <c r="K1" s="37" t="s">
        <v>86</v>
      </c>
    </row>
    <row r="2" spans="1:11" ht="14.4">
      <c r="A2" s="4">
        <v>1</v>
      </c>
      <c r="B2" s="8" t="s">
        <v>66</v>
      </c>
      <c r="C2" s="8" t="s">
        <v>65</v>
      </c>
      <c r="D2" s="1">
        <v>4</v>
      </c>
      <c r="E2" s="29" t="s">
        <v>71</v>
      </c>
      <c r="F2" s="29">
        <v>3</v>
      </c>
      <c r="G2" s="29" t="s">
        <v>76</v>
      </c>
      <c r="H2" s="4">
        <v>12</v>
      </c>
      <c r="I2" s="4">
        <v>3</v>
      </c>
      <c r="J2" s="4" t="s">
        <v>74</v>
      </c>
      <c r="K2" s="4">
        <f>H2-I2</f>
        <v>9</v>
      </c>
    </row>
    <row r="3" spans="1:11" ht="14.4">
      <c r="A3" s="4">
        <v>2</v>
      </c>
      <c r="B3" s="8" t="s">
        <v>64</v>
      </c>
      <c r="C3" s="8" t="s">
        <v>63</v>
      </c>
      <c r="D3" s="1">
        <v>5</v>
      </c>
      <c r="E3" s="29" t="s">
        <v>72</v>
      </c>
      <c r="F3" s="29">
        <v>3</v>
      </c>
      <c r="G3" s="29" t="s">
        <v>76</v>
      </c>
      <c r="H3" s="4">
        <v>15</v>
      </c>
      <c r="I3" s="4">
        <v>2</v>
      </c>
      <c r="J3" s="4" t="s">
        <v>75</v>
      </c>
      <c r="K3" s="4">
        <f t="shared" ref="K3:K53" si="0">H3-I3</f>
        <v>13</v>
      </c>
    </row>
    <row r="4" spans="1:11" ht="28.75">
      <c r="A4" s="4">
        <v>3</v>
      </c>
      <c r="B4" s="8" t="s">
        <v>62</v>
      </c>
      <c r="C4" s="8" t="s">
        <v>61</v>
      </c>
      <c r="D4" s="1">
        <v>1</v>
      </c>
      <c r="E4" s="29" t="s">
        <v>73</v>
      </c>
      <c r="F4" s="29">
        <v>1</v>
      </c>
      <c r="G4" s="29" t="s">
        <v>77</v>
      </c>
      <c r="H4" s="4">
        <v>1</v>
      </c>
      <c r="I4" s="4">
        <v>0</v>
      </c>
      <c r="J4" s="4" t="s">
        <v>87</v>
      </c>
      <c r="K4" s="4">
        <f t="shared" si="0"/>
        <v>1</v>
      </c>
    </row>
    <row r="5" spans="1:11" ht="14.4">
      <c r="A5" s="4">
        <v>4</v>
      </c>
      <c r="B5" s="8" t="s">
        <v>26</v>
      </c>
      <c r="C5" s="8" t="s">
        <v>60</v>
      </c>
      <c r="D5" s="1">
        <v>4</v>
      </c>
      <c r="E5" s="29" t="s">
        <v>71</v>
      </c>
      <c r="F5" s="29">
        <v>3</v>
      </c>
      <c r="G5" s="29" t="s">
        <v>76</v>
      </c>
      <c r="H5" s="4">
        <v>12</v>
      </c>
      <c r="I5" s="4">
        <v>4</v>
      </c>
      <c r="J5" s="4" t="s">
        <v>88</v>
      </c>
      <c r="K5" s="4">
        <f t="shared" si="0"/>
        <v>8</v>
      </c>
    </row>
    <row r="6" spans="1:11" ht="14.4">
      <c r="A6" s="4">
        <v>5</v>
      </c>
      <c r="B6" s="8" t="s">
        <v>26</v>
      </c>
      <c r="C6" s="8" t="s">
        <v>59</v>
      </c>
      <c r="D6" s="1">
        <v>3</v>
      </c>
      <c r="E6" s="29" t="s">
        <v>74</v>
      </c>
      <c r="F6" s="29">
        <v>2</v>
      </c>
      <c r="G6" s="29" t="s">
        <v>78</v>
      </c>
      <c r="H6" s="4">
        <v>6</v>
      </c>
      <c r="I6" s="4">
        <v>1</v>
      </c>
      <c r="J6" s="4" t="s">
        <v>73</v>
      </c>
      <c r="K6" s="4">
        <f t="shared" si="0"/>
        <v>5</v>
      </c>
    </row>
    <row r="7" spans="1:11" ht="14.4">
      <c r="A7" s="4">
        <v>6</v>
      </c>
      <c r="B7" s="8" t="s">
        <v>26</v>
      </c>
      <c r="C7" s="8" t="s">
        <v>58</v>
      </c>
      <c r="D7" s="1">
        <v>4</v>
      </c>
      <c r="E7" s="29" t="s">
        <v>71</v>
      </c>
      <c r="F7" s="29">
        <v>3</v>
      </c>
      <c r="G7" s="29" t="s">
        <v>76</v>
      </c>
      <c r="H7" s="4">
        <v>12</v>
      </c>
      <c r="I7" s="4">
        <v>2</v>
      </c>
      <c r="J7" s="4" t="s">
        <v>75</v>
      </c>
      <c r="K7" s="4">
        <f t="shared" si="0"/>
        <v>10</v>
      </c>
    </row>
    <row r="8" spans="1:11" ht="14.4">
      <c r="A8" s="4">
        <v>7</v>
      </c>
      <c r="B8" s="8" t="s">
        <v>26</v>
      </c>
      <c r="C8" s="8" t="s">
        <v>57</v>
      </c>
      <c r="D8" s="1">
        <v>4</v>
      </c>
      <c r="E8" s="29" t="s">
        <v>71</v>
      </c>
      <c r="F8" s="29">
        <v>3</v>
      </c>
      <c r="G8" s="29" t="s">
        <v>76</v>
      </c>
      <c r="H8" s="4">
        <v>12</v>
      </c>
      <c r="I8" s="4">
        <v>2</v>
      </c>
      <c r="J8" s="4" t="s">
        <v>75</v>
      </c>
      <c r="K8" s="4">
        <f t="shared" si="0"/>
        <v>10</v>
      </c>
    </row>
    <row r="9" spans="1:11" ht="14.4">
      <c r="A9" s="4">
        <v>8</v>
      </c>
      <c r="B9" s="8" t="s">
        <v>26</v>
      </c>
      <c r="C9" s="8" t="s">
        <v>56</v>
      </c>
      <c r="D9" s="1">
        <v>5</v>
      </c>
      <c r="E9" s="29" t="s">
        <v>72</v>
      </c>
      <c r="F9" s="29">
        <v>2</v>
      </c>
      <c r="G9" s="29" t="s">
        <v>78</v>
      </c>
      <c r="H9" s="4">
        <v>10</v>
      </c>
      <c r="I9" s="4">
        <v>3</v>
      </c>
      <c r="J9" s="4" t="s">
        <v>74</v>
      </c>
      <c r="K9" s="4">
        <f t="shared" si="0"/>
        <v>7</v>
      </c>
    </row>
    <row r="10" spans="1:11" ht="14.4">
      <c r="A10" s="4">
        <v>9</v>
      </c>
      <c r="B10" s="8" t="s">
        <v>26</v>
      </c>
      <c r="C10" s="8" t="s">
        <v>55</v>
      </c>
      <c r="D10" s="1">
        <v>5</v>
      </c>
      <c r="E10" s="29" t="s">
        <v>72</v>
      </c>
      <c r="F10" s="29">
        <v>3</v>
      </c>
      <c r="G10" s="29" t="s">
        <v>76</v>
      </c>
      <c r="H10" s="4">
        <v>15</v>
      </c>
      <c r="I10" s="4">
        <v>2</v>
      </c>
      <c r="J10" s="4" t="s">
        <v>75</v>
      </c>
      <c r="K10" s="4">
        <f t="shared" si="0"/>
        <v>13</v>
      </c>
    </row>
    <row r="11" spans="1:11" ht="14.4">
      <c r="A11" s="4">
        <v>10</v>
      </c>
      <c r="B11" s="8" t="s">
        <v>26</v>
      </c>
      <c r="C11" s="8" t="s">
        <v>54</v>
      </c>
      <c r="D11" s="1">
        <v>4</v>
      </c>
      <c r="E11" s="29" t="s">
        <v>71</v>
      </c>
      <c r="F11" s="29">
        <v>3</v>
      </c>
      <c r="G11" s="29" t="s">
        <v>76</v>
      </c>
      <c r="H11" s="4">
        <v>12</v>
      </c>
      <c r="I11" s="4">
        <v>3</v>
      </c>
      <c r="J11" s="4" t="s">
        <v>74</v>
      </c>
      <c r="K11" s="4">
        <f t="shared" si="0"/>
        <v>9</v>
      </c>
    </row>
    <row r="12" spans="1:11" ht="14.4">
      <c r="A12" s="4">
        <v>11</v>
      </c>
      <c r="B12" s="8" t="s">
        <v>26</v>
      </c>
      <c r="C12" s="8" t="s">
        <v>53</v>
      </c>
      <c r="D12" s="1">
        <v>4</v>
      </c>
      <c r="E12" s="29" t="s">
        <v>71</v>
      </c>
      <c r="F12" s="29">
        <v>3</v>
      </c>
      <c r="G12" s="29" t="s">
        <v>76</v>
      </c>
      <c r="H12" s="4">
        <v>12</v>
      </c>
      <c r="I12" s="4">
        <v>2</v>
      </c>
      <c r="J12" s="4" t="s">
        <v>75</v>
      </c>
      <c r="K12" s="4">
        <f t="shared" si="0"/>
        <v>10</v>
      </c>
    </row>
    <row r="13" spans="1:11" ht="14.4">
      <c r="A13" s="4">
        <v>12</v>
      </c>
      <c r="B13" s="26" t="s">
        <v>26</v>
      </c>
      <c r="C13" s="26" t="s">
        <v>52</v>
      </c>
      <c r="D13" s="9">
        <v>4</v>
      </c>
      <c r="E13" s="29" t="s">
        <v>71</v>
      </c>
      <c r="F13" s="30">
        <v>2</v>
      </c>
      <c r="G13" s="29" t="s">
        <v>78</v>
      </c>
      <c r="H13" s="4">
        <v>8</v>
      </c>
      <c r="I13" s="4">
        <v>3</v>
      </c>
      <c r="J13" s="4" t="s">
        <v>74</v>
      </c>
      <c r="K13" s="4">
        <f t="shared" si="0"/>
        <v>5</v>
      </c>
    </row>
    <row r="14" spans="1:11" ht="14.4">
      <c r="A14" s="4">
        <v>13</v>
      </c>
      <c r="B14" s="8" t="s">
        <v>26</v>
      </c>
      <c r="C14" s="8" t="s">
        <v>51</v>
      </c>
      <c r="D14" s="1">
        <v>4</v>
      </c>
      <c r="E14" s="29" t="s">
        <v>71</v>
      </c>
      <c r="F14" s="29">
        <v>2</v>
      </c>
      <c r="G14" s="29" t="s">
        <v>78</v>
      </c>
      <c r="H14" s="4">
        <v>8</v>
      </c>
      <c r="I14" s="4">
        <v>5</v>
      </c>
      <c r="J14" s="4" t="s">
        <v>89</v>
      </c>
      <c r="K14" s="4">
        <f t="shared" si="0"/>
        <v>3</v>
      </c>
    </row>
    <row r="15" spans="1:11" ht="14.4">
      <c r="A15" s="4">
        <v>14</v>
      </c>
      <c r="B15" s="8" t="s">
        <v>26</v>
      </c>
      <c r="C15" s="8" t="s">
        <v>50</v>
      </c>
      <c r="D15" s="1">
        <v>4</v>
      </c>
      <c r="E15" s="29" t="s">
        <v>71</v>
      </c>
      <c r="F15" s="29">
        <v>2</v>
      </c>
      <c r="G15" s="29" t="s">
        <v>78</v>
      </c>
      <c r="H15" s="4">
        <v>8</v>
      </c>
      <c r="I15" s="4">
        <v>4</v>
      </c>
      <c r="J15" s="4" t="s">
        <v>88</v>
      </c>
      <c r="K15" s="4">
        <f t="shared" si="0"/>
        <v>4</v>
      </c>
    </row>
    <row r="16" spans="1:11" ht="14.4">
      <c r="A16" s="4">
        <v>15</v>
      </c>
      <c r="B16" s="8" t="s">
        <v>26</v>
      </c>
      <c r="C16" s="8" t="s">
        <v>49</v>
      </c>
      <c r="D16" s="1">
        <v>4</v>
      </c>
      <c r="E16" s="29" t="s">
        <v>71</v>
      </c>
      <c r="F16" s="29">
        <v>4</v>
      </c>
      <c r="G16" s="29" t="s">
        <v>79</v>
      </c>
      <c r="H16" s="4">
        <v>16</v>
      </c>
      <c r="I16" s="4">
        <v>3</v>
      </c>
      <c r="J16" s="4" t="s">
        <v>74</v>
      </c>
      <c r="K16" s="4">
        <f t="shared" si="0"/>
        <v>13</v>
      </c>
    </row>
    <row r="17" spans="1:11" ht="14.4">
      <c r="A17" s="4">
        <v>16</v>
      </c>
      <c r="B17" s="8" t="s">
        <v>26</v>
      </c>
      <c r="C17" s="8" t="s">
        <v>48</v>
      </c>
      <c r="D17" s="1">
        <v>5</v>
      </c>
      <c r="E17" s="29" t="s">
        <v>72</v>
      </c>
      <c r="F17" s="29">
        <v>2</v>
      </c>
      <c r="G17" s="29" t="s">
        <v>78</v>
      </c>
      <c r="H17" s="4">
        <v>10</v>
      </c>
      <c r="I17" s="4">
        <v>5</v>
      </c>
      <c r="J17" s="4" t="s">
        <v>89</v>
      </c>
      <c r="K17" s="4">
        <f t="shared" si="0"/>
        <v>5</v>
      </c>
    </row>
    <row r="18" spans="1:11" ht="14.4">
      <c r="A18" s="4">
        <v>17</v>
      </c>
      <c r="B18" s="8" t="s">
        <v>26</v>
      </c>
      <c r="C18" s="8" t="s">
        <v>47</v>
      </c>
      <c r="D18" s="1">
        <v>4</v>
      </c>
      <c r="E18" s="29" t="s">
        <v>71</v>
      </c>
      <c r="F18" s="29">
        <v>5</v>
      </c>
      <c r="G18" s="29" t="s">
        <v>80</v>
      </c>
      <c r="H18" s="4">
        <v>20</v>
      </c>
      <c r="I18" s="4">
        <v>3</v>
      </c>
      <c r="J18" s="4" t="s">
        <v>74</v>
      </c>
      <c r="K18" s="4">
        <f t="shared" si="0"/>
        <v>17</v>
      </c>
    </row>
    <row r="19" spans="1:11" ht="14.4">
      <c r="A19" s="4">
        <v>18</v>
      </c>
      <c r="B19" s="8" t="s">
        <v>46</v>
      </c>
      <c r="C19" s="8" t="s">
        <v>45</v>
      </c>
      <c r="D19" s="1">
        <v>1</v>
      </c>
      <c r="E19" s="29" t="s">
        <v>73</v>
      </c>
      <c r="F19" s="29">
        <v>1</v>
      </c>
      <c r="G19" s="29" t="s">
        <v>77</v>
      </c>
      <c r="H19" s="4">
        <v>1</v>
      </c>
      <c r="I19" s="4">
        <v>0</v>
      </c>
      <c r="J19" s="4" t="s">
        <v>87</v>
      </c>
      <c r="K19" s="4">
        <f t="shared" si="0"/>
        <v>1</v>
      </c>
    </row>
    <row r="20" spans="1:11" ht="14.4">
      <c r="A20" s="4">
        <v>19</v>
      </c>
      <c r="B20" s="8" t="s">
        <v>26</v>
      </c>
      <c r="C20" s="8" t="s">
        <v>44</v>
      </c>
      <c r="D20" s="1">
        <v>4</v>
      </c>
      <c r="E20" s="29" t="s">
        <v>71</v>
      </c>
      <c r="F20" s="29">
        <v>1</v>
      </c>
      <c r="G20" s="29" t="s">
        <v>77</v>
      </c>
      <c r="H20" s="4">
        <v>4</v>
      </c>
      <c r="I20" s="4">
        <v>4</v>
      </c>
      <c r="J20" s="4" t="s">
        <v>88</v>
      </c>
      <c r="K20" s="4">
        <f t="shared" si="0"/>
        <v>0</v>
      </c>
    </row>
    <row r="21" spans="1:11" ht="14.4">
      <c r="A21" s="4">
        <v>20</v>
      </c>
      <c r="B21" s="8" t="s">
        <v>1</v>
      </c>
      <c r="C21" s="8" t="s">
        <v>43</v>
      </c>
      <c r="D21" s="1">
        <v>3</v>
      </c>
      <c r="E21" s="29" t="s">
        <v>74</v>
      </c>
      <c r="F21" s="29">
        <v>3</v>
      </c>
      <c r="G21" s="29" t="s">
        <v>76</v>
      </c>
      <c r="H21" s="4">
        <v>9</v>
      </c>
      <c r="I21" s="4">
        <v>4</v>
      </c>
      <c r="J21" s="4" t="s">
        <v>88</v>
      </c>
      <c r="K21" s="4">
        <f t="shared" si="0"/>
        <v>5</v>
      </c>
    </row>
    <row r="22" spans="1:11" ht="14.4">
      <c r="A22" s="4">
        <v>21</v>
      </c>
      <c r="B22" s="8" t="s">
        <v>1</v>
      </c>
      <c r="C22" s="8" t="s">
        <v>42</v>
      </c>
      <c r="D22" s="1">
        <v>3</v>
      </c>
      <c r="E22" s="29" t="s">
        <v>74</v>
      </c>
      <c r="F22" s="29">
        <v>3</v>
      </c>
      <c r="G22" s="29" t="s">
        <v>76</v>
      </c>
      <c r="H22" s="4">
        <v>9</v>
      </c>
      <c r="I22" s="4">
        <v>3</v>
      </c>
      <c r="J22" s="4" t="s">
        <v>74</v>
      </c>
      <c r="K22" s="4">
        <f t="shared" si="0"/>
        <v>6</v>
      </c>
    </row>
    <row r="23" spans="1:11" ht="14.4">
      <c r="A23" s="4">
        <v>22</v>
      </c>
      <c r="B23" s="8" t="s">
        <v>1</v>
      </c>
      <c r="C23" s="8" t="s">
        <v>41</v>
      </c>
      <c r="D23" s="1">
        <v>4</v>
      </c>
      <c r="E23" s="29" t="s">
        <v>71</v>
      </c>
      <c r="F23" s="29">
        <v>2</v>
      </c>
      <c r="G23" s="29" t="s">
        <v>78</v>
      </c>
      <c r="H23" s="4">
        <v>8</v>
      </c>
      <c r="I23" s="4">
        <v>4</v>
      </c>
      <c r="J23" s="4" t="s">
        <v>88</v>
      </c>
      <c r="K23" s="4">
        <f t="shared" si="0"/>
        <v>4</v>
      </c>
    </row>
    <row r="24" spans="1:11" ht="14.4">
      <c r="A24" s="4">
        <v>23</v>
      </c>
      <c r="B24" s="8" t="s">
        <v>1</v>
      </c>
      <c r="C24" s="8" t="s">
        <v>40</v>
      </c>
      <c r="D24" s="1">
        <v>3</v>
      </c>
      <c r="E24" s="29" t="s">
        <v>74</v>
      </c>
      <c r="F24" s="29">
        <v>3</v>
      </c>
      <c r="G24" s="29" t="s">
        <v>76</v>
      </c>
      <c r="H24" s="4">
        <v>9</v>
      </c>
      <c r="I24" s="4">
        <v>3</v>
      </c>
      <c r="J24" s="4" t="s">
        <v>74</v>
      </c>
      <c r="K24" s="4">
        <f t="shared" si="0"/>
        <v>6</v>
      </c>
    </row>
    <row r="25" spans="1:11" ht="14.4">
      <c r="A25" s="4">
        <v>24</v>
      </c>
      <c r="B25" s="8" t="s">
        <v>39</v>
      </c>
      <c r="C25" s="8" t="s">
        <v>38</v>
      </c>
      <c r="D25" s="1">
        <v>2</v>
      </c>
      <c r="E25" s="29" t="s">
        <v>75</v>
      </c>
      <c r="F25" s="29">
        <v>2</v>
      </c>
      <c r="G25" s="29" t="s">
        <v>78</v>
      </c>
      <c r="H25" s="4">
        <v>4</v>
      </c>
      <c r="I25" s="4">
        <v>3</v>
      </c>
      <c r="J25" s="4" t="s">
        <v>74</v>
      </c>
      <c r="K25" s="4">
        <f t="shared" si="0"/>
        <v>1</v>
      </c>
    </row>
    <row r="26" spans="1:11">
      <c r="A26" s="4">
        <v>25</v>
      </c>
      <c r="B26" s="8" t="s">
        <v>36</v>
      </c>
      <c r="C26" s="8" t="s">
        <v>37</v>
      </c>
      <c r="D26" s="1">
        <v>3</v>
      </c>
      <c r="E26" s="29" t="s">
        <v>74</v>
      </c>
      <c r="F26" s="29">
        <v>3</v>
      </c>
      <c r="G26" s="29" t="s">
        <v>76</v>
      </c>
      <c r="H26" s="4">
        <v>9</v>
      </c>
      <c r="I26" s="4">
        <v>4</v>
      </c>
      <c r="J26" s="4" t="s">
        <v>88</v>
      </c>
      <c r="K26" s="4">
        <f t="shared" si="0"/>
        <v>5</v>
      </c>
    </row>
    <row r="27" spans="1:11">
      <c r="A27" s="4">
        <v>26</v>
      </c>
      <c r="B27" s="8" t="s">
        <v>36</v>
      </c>
      <c r="C27" s="8" t="s">
        <v>35</v>
      </c>
      <c r="D27" s="1">
        <v>3</v>
      </c>
      <c r="E27" s="29" t="s">
        <v>74</v>
      </c>
      <c r="F27" s="29">
        <v>2</v>
      </c>
      <c r="G27" s="29" t="s">
        <v>78</v>
      </c>
      <c r="H27" s="4">
        <v>6</v>
      </c>
      <c r="I27" s="4">
        <v>4</v>
      </c>
      <c r="J27" s="4" t="s">
        <v>88</v>
      </c>
      <c r="K27" s="4">
        <f t="shared" si="0"/>
        <v>2</v>
      </c>
    </row>
    <row r="28" spans="1:11">
      <c r="A28" s="4">
        <v>27</v>
      </c>
      <c r="B28" s="8" t="s">
        <v>32</v>
      </c>
      <c r="C28" s="8" t="s">
        <v>34</v>
      </c>
      <c r="D28" s="1">
        <v>1</v>
      </c>
      <c r="E28" s="29" t="s">
        <v>73</v>
      </c>
      <c r="F28" s="29">
        <v>1</v>
      </c>
      <c r="G28" s="29" t="s">
        <v>77</v>
      </c>
      <c r="H28" s="4">
        <v>1</v>
      </c>
      <c r="I28" s="4">
        <v>0</v>
      </c>
      <c r="J28" s="4" t="s">
        <v>87</v>
      </c>
      <c r="K28" s="4">
        <f t="shared" si="0"/>
        <v>1</v>
      </c>
    </row>
    <row r="29" spans="1:11">
      <c r="A29" s="4">
        <v>28</v>
      </c>
      <c r="B29" s="8" t="s">
        <v>32</v>
      </c>
      <c r="C29" s="8" t="s">
        <v>33</v>
      </c>
      <c r="D29" s="1">
        <v>4</v>
      </c>
      <c r="E29" s="29" t="s">
        <v>71</v>
      </c>
      <c r="F29" s="29">
        <v>2</v>
      </c>
      <c r="G29" s="29" t="s">
        <v>78</v>
      </c>
      <c r="H29" s="4">
        <v>8</v>
      </c>
      <c r="I29" s="4">
        <v>4</v>
      </c>
      <c r="J29" s="4" t="s">
        <v>88</v>
      </c>
      <c r="K29" s="4">
        <f t="shared" si="0"/>
        <v>4</v>
      </c>
    </row>
    <row r="30" spans="1:11">
      <c r="A30" s="4">
        <v>29</v>
      </c>
      <c r="B30" s="25" t="s">
        <v>32</v>
      </c>
      <c r="C30" s="25" t="s">
        <v>31</v>
      </c>
      <c r="D30" s="24">
        <v>3</v>
      </c>
      <c r="E30" s="29" t="s">
        <v>74</v>
      </c>
      <c r="F30" s="31">
        <v>2</v>
      </c>
      <c r="G30" s="29" t="s">
        <v>78</v>
      </c>
      <c r="H30" s="4">
        <v>6</v>
      </c>
      <c r="I30" s="4">
        <v>3</v>
      </c>
      <c r="J30" s="4" t="s">
        <v>74</v>
      </c>
      <c r="K30" s="4">
        <f t="shared" si="0"/>
        <v>3</v>
      </c>
    </row>
    <row r="31" spans="1:11" s="15" customFormat="1">
      <c r="A31" s="4">
        <v>30</v>
      </c>
      <c r="B31" s="23" t="s">
        <v>28</v>
      </c>
      <c r="C31" s="23" t="s">
        <v>30</v>
      </c>
      <c r="D31" s="22">
        <v>1</v>
      </c>
      <c r="E31" s="29" t="s">
        <v>73</v>
      </c>
      <c r="F31" s="32">
        <v>1</v>
      </c>
      <c r="G31" s="29" t="s">
        <v>77</v>
      </c>
      <c r="H31" s="4">
        <v>1</v>
      </c>
      <c r="I31" s="4">
        <v>1</v>
      </c>
      <c r="J31" s="4" t="s">
        <v>73</v>
      </c>
      <c r="K31" s="4">
        <f t="shared" si="0"/>
        <v>0</v>
      </c>
    </row>
    <row r="32" spans="1:11" s="15" customFormat="1">
      <c r="A32" s="4">
        <v>31</v>
      </c>
      <c r="B32" s="23" t="s">
        <v>28</v>
      </c>
      <c r="C32" s="23" t="s">
        <v>29</v>
      </c>
      <c r="D32" s="22">
        <v>1</v>
      </c>
      <c r="E32" s="29" t="s">
        <v>73</v>
      </c>
      <c r="F32" s="32">
        <v>1</v>
      </c>
      <c r="G32" s="29" t="s">
        <v>77</v>
      </c>
      <c r="H32" s="4">
        <v>1</v>
      </c>
      <c r="I32" s="4">
        <v>0</v>
      </c>
      <c r="J32" s="4" t="s">
        <v>87</v>
      </c>
      <c r="K32" s="4">
        <f t="shared" si="0"/>
        <v>1</v>
      </c>
    </row>
    <row r="33" spans="1:11" s="15" customFormat="1">
      <c r="A33" s="4">
        <v>32</v>
      </c>
      <c r="B33" s="23" t="s">
        <v>28</v>
      </c>
      <c r="C33" s="23" t="s">
        <v>27</v>
      </c>
      <c r="D33" s="22">
        <v>1</v>
      </c>
      <c r="E33" s="29" t="s">
        <v>73</v>
      </c>
      <c r="F33" s="32">
        <v>1</v>
      </c>
      <c r="G33" s="29" t="s">
        <v>77</v>
      </c>
      <c r="H33" s="4">
        <v>1</v>
      </c>
      <c r="I33" s="4">
        <v>0</v>
      </c>
      <c r="J33" s="4" t="s">
        <v>87</v>
      </c>
      <c r="K33" s="4">
        <f t="shared" si="0"/>
        <v>1</v>
      </c>
    </row>
    <row r="34" spans="1:11" s="20" customFormat="1">
      <c r="A34" s="4">
        <v>33</v>
      </c>
      <c r="B34" s="21" t="s">
        <v>26</v>
      </c>
      <c r="C34" s="21" t="s">
        <v>25</v>
      </c>
      <c r="D34" s="13">
        <v>4</v>
      </c>
      <c r="E34" s="29" t="s">
        <v>71</v>
      </c>
      <c r="F34" s="33">
        <v>4</v>
      </c>
      <c r="G34" s="29" t="s">
        <v>79</v>
      </c>
      <c r="H34" s="4">
        <v>16</v>
      </c>
      <c r="I34" s="4">
        <v>4</v>
      </c>
      <c r="J34" s="4" t="s">
        <v>88</v>
      </c>
      <c r="K34" s="4">
        <f t="shared" si="0"/>
        <v>12</v>
      </c>
    </row>
    <row r="35" spans="1:11">
      <c r="A35" s="4">
        <v>34</v>
      </c>
      <c r="B35" s="14" t="s">
        <v>24</v>
      </c>
      <c r="C35" s="14" t="s">
        <v>23</v>
      </c>
      <c r="D35" s="13">
        <v>1</v>
      </c>
      <c r="E35" s="29" t="s">
        <v>73</v>
      </c>
      <c r="F35" s="33">
        <v>1</v>
      </c>
      <c r="G35" s="29" t="s">
        <v>77</v>
      </c>
      <c r="H35" s="4">
        <v>1</v>
      </c>
      <c r="I35" s="4">
        <v>0</v>
      </c>
      <c r="J35" s="4" t="s">
        <v>87</v>
      </c>
      <c r="K35" s="4">
        <f t="shared" si="0"/>
        <v>1</v>
      </c>
    </row>
    <row r="36" spans="1:11">
      <c r="A36" s="4">
        <v>35</v>
      </c>
      <c r="B36" s="14" t="s">
        <v>9</v>
      </c>
      <c r="C36" s="14" t="s">
        <v>22</v>
      </c>
      <c r="D36" s="13">
        <v>4</v>
      </c>
      <c r="E36" s="29" t="s">
        <v>71</v>
      </c>
      <c r="F36" s="33">
        <v>4</v>
      </c>
      <c r="G36" s="29" t="s">
        <v>79</v>
      </c>
      <c r="H36" s="4">
        <v>16</v>
      </c>
      <c r="I36" s="4">
        <v>1</v>
      </c>
      <c r="J36" s="4" t="s">
        <v>73</v>
      </c>
      <c r="K36" s="4">
        <f t="shared" si="0"/>
        <v>15</v>
      </c>
    </row>
    <row r="37" spans="1:11" s="18" customFormat="1">
      <c r="A37" s="4">
        <v>36</v>
      </c>
      <c r="B37" s="19" t="s">
        <v>9</v>
      </c>
      <c r="C37" s="19" t="s">
        <v>21</v>
      </c>
      <c r="D37" s="11">
        <v>1</v>
      </c>
      <c r="E37" s="29" t="s">
        <v>73</v>
      </c>
      <c r="F37" s="34">
        <v>1</v>
      </c>
      <c r="G37" s="29" t="s">
        <v>77</v>
      </c>
      <c r="H37" s="4">
        <v>1</v>
      </c>
      <c r="I37" s="4">
        <v>1</v>
      </c>
      <c r="J37" s="4" t="s">
        <v>73</v>
      </c>
      <c r="K37" s="4">
        <f t="shared" si="0"/>
        <v>0</v>
      </c>
    </row>
    <row r="38" spans="1:11" s="15" customFormat="1">
      <c r="A38" s="4">
        <v>37</v>
      </c>
      <c r="B38" s="17" t="s">
        <v>20</v>
      </c>
      <c r="C38" s="17" t="s">
        <v>19</v>
      </c>
      <c r="D38" s="16">
        <v>2</v>
      </c>
      <c r="E38" s="29" t="s">
        <v>75</v>
      </c>
      <c r="F38" s="35">
        <v>2</v>
      </c>
      <c r="G38" s="29" t="s">
        <v>78</v>
      </c>
      <c r="H38" s="4">
        <v>4</v>
      </c>
      <c r="I38" s="4">
        <v>4</v>
      </c>
      <c r="J38" s="4" t="s">
        <v>88</v>
      </c>
      <c r="K38" s="4">
        <f t="shared" si="0"/>
        <v>0</v>
      </c>
    </row>
    <row r="39" spans="1:11" s="15" customFormat="1">
      <c r="A39" s="4">
        <v>38</v>
      </c>
      <c r="B39" s="12" t="s">
        <v>13</v>
      </c>
      <c r="C39" s="12" t="s">
        <v>18</v>
      </c>
      <c r="D39" s="11">
        <v>1</v>
      </c>
      <c r="E39" s="29" t="s">
        <v>73</v>
      </c>
      <c r="F39" s="34">
        <v>1</v>
      </c>
      <c r="G39" s="29" t="s">
        <v>77</v>
      </c>
      <c r="H39" s="4">
        <v>1</v>
      </c>
      <c r="I39" s="4">
        <v>0</v>
      </c>
      <c r="J39" s="4" t="s">
        <v>87</v>
      </c>
      <c r="K39" s="4">
        <f t="shared" si="0"/>
        <v>1</v>
      </c>
    </row>
    <row r="40" spans="1:11" s="5" customFormat="1">
      <c r="A40" s="4">
        <v>39</v>
      </c>
      <c r="B40" s="14" t="s">
        <v>13</v>
      </c>
      <c r="C40" s="14" t="s">
        <v>17</v>
      </c>
      <c r="D40" s="13">
        <v>1</v>
      </c>
      <c r="E40" s="29" t="s">
        <v>73</v>
      </c>
      <c r="F40" s="33">
        <v>1</v>
      </c>
      <c r="G40" s="29" t="s">
        <v>77</v>
      </c>
      <c r="H40" s="4">
        <v>1</v>
      </c>
      <c r="I40" s="4">
        <v>0</v>
      </c>
      <c r="J40" s="4" t="s">
        <v>87</v>
      </c>
      <c r="K40" s="4">
        <f t="shared" si="0"/>
        <v>1</v>
      </c>
    </row>
    <row r="41" spans="1:11" s="5" customFormat="1" ht="28">
      <c r="A41" s="4">
        <v>40</v>
      </c>
      <c r="B41" s="14" t="s">
        <v>16</v>
      </c>
      <c r="C41" s="14" t="s">
        <v>15</v>
      </c>
      <c r="D41" s="13">
        <v>4</v>
      </c>
      <c r="E41" s="29" t="s">
        <v>71</v>
      </c>
      <c r="F41" s="33">
        <v>3</v>
      </c>
      <c r="G41" s="29" t="s">
        <v>76</v>
      </c>
      <c r="H41" s="4">
        <v>12</v>
      </c>
      <c r="I41" s="4">
        <v>3</v>
      </c>
      <c r="J41" s="4" t="s">
        <v>74</v>
      </c>
      <c r="K41" s="4">
        <f t="shared" si="0"/>
        <v>9</v>
      </c>
    </row>
    <row r="42" spans="1:11" s="5" customFormat="1">
      <c r="A42" s="4">
        <v>41</v>
      </c>
      <c r="B42" s="14" t="s">
        <v>13</v>
      </c>
      <c r="C42" s="14" t="s">
        <v>14</v>
      </c>
      <c r="D42" s="13">
        <v>1</v>
      </c>
      <c r="E42" s="29" t="s">
        <v>73</v>
      </c>
      <c r="F42" s="33">
        <v>1</v>
      </c>
      <c r="G42" s="29" t="s">
        <v>77</v>
      </c>
      <c r="H42" s="4">
        <v>1</v>
      </c>
      <c r="I42" s="4">
        <v>0</v>
      </c>
      <c r="J42" s="4" t="s">
        <v>87</v>
      </c>
      <c r="K42" s="4">
        <f t="shared" si="0"/>
        <v>1</v>
      </c>
    </row>
    <row r="43" spans="1:11" s="5" customFormat="1">
      <c r="A43" s="4">
        <v>42</v>
      </c>
      <c r="B43" s="14" t="s">
        <v>13</v>
      </c>
      <c r="C43" s="14" t="s">
        <v>12</v>
      </c>
      <c r="D43" s="13">
        <v>1</v>
      </c>
      <c r="E43" s="29" t="s">
        <v>73</v>
      </c>
      <c r="F43" s="33">
        <v>1</v>
      </c>
      <c r="G43" s="29" t="s">
        <v>77</v>
      </c>
      <c r="H43" s="4">
        <v>1</v>
      </c>
      <c r="I43" s="4">
        <v>0</v>
      </c>
      <c r="J43" s="4" t="s">
        <v>87</v>
      </c>
      <c r="K43" s="4">
        <f t="shared" si="0"/>
        <v>1</v>
      </c>
    </row>
    <row r="44" spans="1:11" s="5" customFormat="1">
      <c r="A44" s="4">
        <v>43</v>
      </c>
      <c r="B44" s="12" t="s">
        <v>9</v>
      </c>
      <c r="C44" s="12" t="s">
        <v>11</v>
      </c>
      <c r="D44" s="11">
        <v>4</v>
      </c>
      <c r="E44" s="29" t="s">
        <v>71</v>
      </c>
      <c r="F44" s="34">
        <v>3</v>
      </c>
      <c r="G44" s="29" t="s">
        <v>76</v>
      </c>
      <c r="H44" s="4">
        <v>12</v>
      </c>
      <c r="I44" s="4">
        <v>2</v>
      </c>
      <c r="J44" s="4" t="s">
        <v>75</v>
      </c>
      <c r="K44" s="4">
        <f t="shared" si="0"/>
        <v>10</v>
      </c>
    </row>
    <row r="45" spans="1:11">
      <c r="A45" s="4">
        <v>44</v>
      </c>
      <c r="B45" s="10" t="s">
        <v>9</v>
      </c>
      <c r="C45" s="10" t="s">
        <v>10</v>
      </c>
      <c r="D45" s="9">
        <v>4</v>
      </c>
      <c r="E45" s="29" t="s">
        <v>71</v>
      </c>
      <c r="F45" s="30">
        <v>4</v>
      </c>
      <c r="G45" s="29" t="s">
        <v>79</v>
      </c>
      <c r="H45" s="4">
        <v>16</v>
      </c>
      <c r="I45" s="4">
        <v>2</v>
      </c>
      <c r="J45" s="4" t="s">
        <v>75</v>
      </c>
      <c r="K45" s="4">
        <f t="shared" si="0"/>
        <v>14</v>
      </c>
    </row>
    <row r="46" spans="1:11">
      <c r="A46" s="4">
        <v>45</v>
      </c>
      <c r="B46" s="10" t="s">
        <v>9</v>
      </c>
      <c r="C46" s="10" t="s">
        <v>8</v>
      </c>
      <c r="D46" s="9">
        <v>3</v>
      </c>
      <c r="E46" s="29" t="s">
        <v>74</v>
      </c>
      <c r="F46" s="30">
        <v>4</v>
      </c>
      <c r="G46" s="29" t="s">
        <v>79</v>
      </c>
      <c r="H46" s="4">
        <v>12</v>
      </c>
      <c r="I46" s="4">
        <v>2</v>
      </c>
      <c r="J46" s="4" t="s">
        <v>75</v>
      </c>
      <c r="K46" s="4">
        <f t="shared" si="0"/>
        <v>10</v>
      </c>
    </row>
    <row r="47" spans="1:11">
      <c r="A47" s="4">
        <v>46</v>
      </c>
      <c r="B47" s="8" t="s">
        <v>1</v>
      </c>
      <c r="C47" s="7" t="s">
        <v>7</v>
      </c>
      <c r="D47" s="1">
        <v>3</v>
      </c>
      <c r="E47" s="29" t="s">
        <v>74</v>
      </c>
      <c r="F47" s="29">
        <v>3</v>
      </c>
      <c r="G47" s="29" t="s">
        <v>76</v>
      </c>
      <c r="H47" s="4">
        <v>9</v>
      </c>
      <c r="I47" s="4">
        <v>3</v>
      </c>
      <c r="J47" s="4" t="s">
        <v>74</v>
      </c>
      <c r="K47" s="4">
        <f t="shared" si="0"/>
        <v>6</v>
      </c>
    </row>
    <row r="48" spans="1:11">
      <c r="A48" s="4">
        <v>47</v>
      </c>
      <c r="B48" s="3" t="s">
        <v>1</v>
      </c>
      <c r="C48" s="2" t="s">
        <v>6</v>
      </c>
      <c r="D48" s="1">
        <v>3</v>
      </c>
      <c r="E48" s="29" t="s">
        <v>74</v>
      </c>
      <c r="F48" s="29">
        <v>3</v>
      </c>
      <c r="G48" s="29" t="s">
        <v>76</v>
      </c>
      <c r="H48" s="4">
        <v>9</v>
      </c>
      <c r="I48" s="4">
        <v>3</v>
      </c>
      <c r="J48" s="4" t="s">
        <v>74</v>
      </c>
      <c r="K48" s="4">
        <f t="shared" si="0"/>
        <v>6</v>
      </c>
    </row>
    <row r="49" spans="1:11">
      <c r="A49" s="4">
        <v>48</v>
      </c>
      <c r="B49" s="3" t="s">
        <v>1</v>
      </c>
      <c r="C49" s="2" t="s">
        <v>5</v>
      </c>
      <c r="D49" s="1">
        <v>3</v>
      </c>
      <c r="E49" s="29" t="s">
        <v>74</v>
      </c>
      <c r="F49" s="29">
        <v>3</v>
      </c>
      <c r="G49" s="29" t="s">
        <v>76</v>
      </c>
      <c r="H49" s="4">
        <v>9</v>
      </c>
      <c r="I49" s="4">
        <v>3</v>
      </c>
      <c r="J49" s="4" t="s">
        <v>74</v>
      </c>
      <c r="K49" s="4">
        <f t="shared" si="0"/>
        <v>6</v>
      </c>
    </row>
    <row r="50" spans="1:11" s="5" customFormat="1" ht="28">
      <c r="A50" s="4">
        <v>49</v>
      </c>
      <c r="B50" s="3" t="s">
        <v>1</v>
      </c>
      <c r="C50" s="6" t="s">
        <v>4</v>
      </c>
      <c r="D50" s="1">
        <v>3</v>
      </c>
      <c r="E50" s="29" t="s">
        <v>74</v>
      </c>
      <c r="F50" s="29">
        <v>3</v>
      </c>
      <c r="G50" s="29" t="s">
        <v>76</v>
      </c>
      <c r="H50" s="4">
        <v>9</v>
      </c>
      <c r="I50" s="4">
        <v>3</v>
      </c>
      <c r="J50" s="4" t="s">
        <v>74</v>
      </c>
      <c r="K50" s="4">
        <f t="shared" si="0"/>
        <v>6</v>
      </c>
    </row>
    <row r="51" spans="1:11" s="5" customFormat="1">
      <c r="A51" s="4">
        <v>50</v>
      </c>
      <c r="B51" s="3" t="s">
        <v>1</v>
      </c>
      <c r="C51" s="6" t="s">
        <v>3</v>
      </c>
      <c r="D51" s="1">
        <v>3</v>
      </c>
      <c r="E51" s="29" t="s">
        <v>74</v>
      </c>
      <c r="F51" s="29">
        <v>3</v>
      </c>
      <c r="G51" s="29" t="s">
        <v>76</v>
      </c>
      <c r="H51" s="4">
        <v>9</v>
      </c>
      <c r="I51" s="4">
        <v>3</v>
      </c>
      <c r="J51" s="4" t="s">
        <v>74</v>
      </c>
      <c r="K51" s="4">
        <f t="shared" si="0"/>
        <v>6</v>
      </c>
    </row>
    <row r="52" spans="1:11" s="5" customFormat="1">
      <c r="A52" s="4">
        <v>51</v>
      </c>
      <c r="B52" s="3" t="s">
        <v>1</v>
      </c>
      <c r="C52" s="2" t="s">
        <v>2</v>
      </c>
      <c r="D52" s="1">
        <v>3</v>
      </c>
      <c r="E52" s="29" t="s">
        <v>74</v>
      </c>
      <c r="F52" s="29">
        <v>3</v>
      </c>
      <c r="G52" s="29" t="s">
        <v>76</v>
      </c>
      <c r="H52" s="4">
        <v>9</v>
      </c>
      <c r="I52" s="4">
        <v>3</v>
      </c>
      <c r="J52" s="4" t="s">
        <v>74</v>
      </c>
      <c r="K52" s="4">
        <f t="shared" si="0"/>
        <v>6</v>
      </c>
    </row>
    <row r="53" spans="1:11">
      <c r="A53" s="4">
        <v>52</v>
      </c>
      <c r="B53" s="3" t="s">
        <v>1</v>
      </c>
      <c r="C53" s="2" t="s">
        <v>0</v>
      </c>
      <c r="D53" s="1">
        <v>3</v>
      </c>
      <c r="E53" s="29" t="s">
        <v>74</v>
      </c>
      <c r="F53" s="29">
        <v>3</v>
      </c>
      <c r="G53" s="29" t="s">
        <v>76</v>
      </c>
      <c r="H53" s="4">
        <v>9</v>
      </c>
      <c r="I53" s="4">
        <v>3</v>
      </c>
      <c r="J53" s="4" t="s">
        <v>74</v>
      </c>
      <c r="K53" s="4">
        <f t="shared" si="0"/>
        <v>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Company>Medline Industries,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Adebayo, Oluwabusayo</dc:creator>
  <cp:lastModifiedBy>Muhammad Arslan</cp:lastModifiedBy>
  <dcterms:created xsi:type="dcterms:W3CDTF">2024-06-12T20:13:03Z</dcterms:created>
  <dcterms:modified xsi:type="dcterms:W3CDTF">2024-06-19T06:53:40Z</dcterms:modified>
</cp:coreProperties>
</file>