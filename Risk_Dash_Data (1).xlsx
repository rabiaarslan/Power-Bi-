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Muhammad Arslan\Downloads\"/>
    </mc:Choice>
  </mc:AlternateContent>
  <bookViews>
    <workbookView xWindow="0" yWindow="0" windowWidth="19200" windowHeight="7050"/>
  </bookViews>
  <sheets>
    <sheet name="Risk Assessment" sheetId="6" r:id="rId1"/>
    <sheet name="Rating Criteria" sheetId="7" r:id="rId2"/>
  </sheets>
  <definedNames>
    <definedName name="_xlnm._FilterDatabase" localSheetId="0" hidden="1">'Risk Assessment'!$A$1:$Q$53</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 i="6" l="1"/>
  <c r="Q4" i="6"/>
  <c r="Q5" i="6"/>
  <c r="Q6" i="6"/>
  <c r="Q7" i="6"/>
  <c r="Q8" i="6"/>
  <c r="Q9" i="6"/>
  <c r="Q10" i="6"/>
  <c r="Q11" i="6"/>
  <c r="Q12" i="6"/>
  <c r="Q13" i="6"/>
  <c r="Q14" i="6"/>
  <c r="Q15" i="6"/>
  <c r="Q16" i="6"/>
  <c r="Q17" i="6"/>
  <c r="Q18" i="6"/>
  <c r="Q19" i="6"/>
  <c r="Q20" i="6"/>
  <c r="Q21" i="6"/>
  <c r="Q22" i="6"/>
  <c r="Q23" i="6"/>
  <c r="Q24" i="6"/>
  <c r="Q25" i="6"/>
  <c r="Q26" i="6"/>
  <c r="Q27" i="6"/>
  <c r="Q28" i="6"/>
  <c r="Q29" i="6"/>
  <c r="Q30" i="6"/>
  <c r="Q31" i="6"/>
  <c r="Q32" i="6"/>
  <c r="Q33" i="6"/>
  <c r="Q34" i="6"/>
  <c r="Q35" i="6"/>
  <c r="Q36" i="6"/>
  <c r="Q37" i="6"/>
  <c r="Q38" i="6"/>
  <c r="Q39" i="6"/>
  <c r="Q40" i="6"/>
  <c r="Q41" i="6"/>
  <c r="Q42" i="6"/>
  <c r="Q43" i="6"/>
  <c r="Q44" i="6"/>
  <c r="Q45" i="6"/>
  <c r="Q46" i="6"/>
  <c r="Q47" i="6"/>
  <c r="Q48" i="6"/>
  <c r="Q49" i="6"/>
  <c r="Q50" i="6"/>
  <c r="Q51" i="6"/>
  <c r="Q52" i="6"/>
  <c r="Q53" i="6"/>
  <c r="Q2" i="6"/>
</calcChain>
</file>

<file path=xl/comments1.xml><?xml version="1.0" encoding="utf-8"?>
<comments xmlns="http://schemas.openxmlformats.org/spreadsheetml/2006/main">
  <authors>
    <author>Adebayo, Oluwabusayo</author>
  </authors>
  <commentList>
    <comment ref="K1" authorId="0" shapeId="0">
      <text>
        <r>
          <rPr>
            <b/>
            <sz val="9"/>
            <color indexed="81"/>
            <rFont val="Tahoma"/>
            <charset val="1"/>
          </rPr>
          <t>Adebayo, Oluwabusayo:</t>
        </r>
        <r>
          <rPr>
            <sz val="9"/>
            <color indexed="81"/>
            <rFont val="Tahoma"/>
            <charset val="1"/>
          </rPr>
          <t xml:space="preserve">
Multiply Impact Score * Likelihood Score = Inherent Risk Score
</t>
        </r>
      </text>
    </comment>
    <comment ref="N1" authorId="0" shapeId="0">
      <text>
        <r>
          <rPr>
            <b/>
            <sz val="9"/>
            <color indexed="81"/>
            <rFont val="Tahoma"/>
            <charset val="1"/>
          </rPr>
          <t>Adebayo, Oluwabusayo:</t>
        </r>
        <r>
          <rPr>
            <sz val="9"/>
            <color indexed="81"/>
            <rFont val="Tahoma"/>
            <charset val="1"/>
          </rPr>
          <t xml:space="preserve">
Use Impact Category
</t>
        </r>
      </text>
    </comment>
  </commentList>
</comments>
</file>

<file path=xl/comments2.xml><?xml version="1.0" encoding="utf-8"?>
<comments xmlns="http://schemas.openxmlformats.org/spreadsheetml/2006/main">
  <authors>
    <author>Glisovic, Lazar</author>
  </authors>
  <commentList>
    <comment ref="A2" authorId="0" shapeId="0">
      <text>
        <r>
          <rPr>
            <b/>
            <sz val="9"/>
            <color indexed="81"/>
            <rFont val="Tahoma"/>
            <family val="2"/>
          </rPr>
          <t>Glisovic, Lazar:</t>
        </r>
        <r>
          <rPr>
            <sz val="9"/>
            <color indexed="81"/>
            <rFont val="Tahoma"/>
            <family val="2"/>
          </rPr>
          <t xml:space="preserve">
The LIKELIHOOD or probablity of an adverse event in this risk area to occur examines what type of regulatory scrutiney exists for this risk area, based on factors such as potential for audits or enforcement by regulatory agencies or the potential for external reporting.
Likelihood Consideration
Considerations when measuring the risk likelihood:
•Vulnerability to the risk
•Probability of an issue
•Detectability of an issue</t>
        </r>
      </text>
    </comment>
    <comment ref="A10" authorId="0" shapeId="0">
      <text>
        <r>
          <rPr>
            <b/>
            <sz val="9"/>
            <color indexed="81"/>
            <rFont val="Tahoma"/>
            <family val="2"/>
          </rPr>
          <t>Glisovic, Lazar:</t>
        </r>
        <r>
          <rPr>
            <sz val="9"/>
            <color indexed="81"/>
            <rFont val="Tahoma"/>
            <family val="2"/>
          </rPr>
          <t xml:space="preserve">
The potential IMPACT on the organization should an adverse event in this risk area occur.
Impact Consideration
Consideration when measuring the risk impact:
•Magnitude of the potential loss
•Effect on the organization’s mission and reputation
•Effect on patient care
•Financial loss to the organization, including cost of potential fines and penalties
•Legal implications</t>
        </r>
      </text>
    </comment>
    <comment ref="A18" authorId="0" shapeId="0">
      <text>
        <r>
          <rPr>
            <b/>
            <sz val="9"/>
            <color indexed="81"/>
            <rFont val="Tahoma"/>
            <family val="2"/>
          </rPr>
          <t>Glisovic, Lazar:</t>
        </r>
        <r>
          <rPr>
            <sz val="9"/>
            <color indexed="81"/>
            <rFont val="Tahoma"/>
            <family val="2"/>
          </rPr>
          <t xml:space="preserve">
The CONTROLS in place to remediate the risk area. Processes, policies and procedures, education &amp; training and auditing &amp; monitoring are the factors in which the evaluation of internal controls is based.
Controls Examples
Examples of controls considered when evaluating risk:
•Policies and procedures
•Education and training
•Internal monitoring/quality control processes
•Compliance audit
•Internal audit
•External audit</t>
        </r>
      </text>
    </comment>
  </commentList>
</comments>
</file>

<file path=xl/sharedStrings.xml><?xml version="1.0" encoding="utf-8"?>
<sst xmlns="http://schemas.openxmlformats.org/spreadsheetml/2006/main" count="571" uniqueCount="225">
  <si>
    <t>Health Plan: Section 1557 Non Discrimation Requirement Compliance</t>
  </si>
  <si>
    <t xml:space="preserve">Health Plan </t>
  </si>
  <si>
    <t xml:space="preserve">Health Plan: Trade Agreement and Buy American Compliance </t>
  </si>
  <si>
    <t xml:space="preserve">Health Plan: Government Contracts - False Claims </t>
  </si>
  <si>
    <t>Health Plan: Government Contracts -  FAR (Federal Acquisition Regulation) Clause Compliance</t>
  </si>
  <si>
    <t xml:space="preserve">Health Plan: State Limitations on Offshoring </t>
  </si>
  <si>
    <t>Health Plan: Exclusion Checks</t>
  </si>
  <si>
    <t xml:space="preserve">Health Plan: ACHC Accreditation </t>
  </si>
  <si>
    <t xml:space="preserve">Royalty Payments </t>
  </si>
  <si>
    <t xml:space="preserve">Healthcare Compliance </t>
  </si>
  <si>
    <t xml:space="preserve">Medical Education: Medline University </t>
  </si>
  <si>
    <t xml:space="preserve">Speaker Programs </t>
  </si>
  <si>
    <t xml:space="preserve">Infection Prevention (Sterilization) </t>
  </si>
  <si>
    <t xml:space="preserve">Healthcare Regulatory </t>
  </si>
  <si>
    <t xml:space="preserve">FDA Regulatory Risks </t>
  </si>
  <si>
    <t xml:space="preserve">Mergers and Acquisition Compliance Integration </t>
  </si>
  <si>
    <t>Healthcare Compliance, Healthcare Operations</t>
  </si>
  <si>
    <t xml:space="preserve">EU Medical Device Regulation </t>
  </si>
  <si>
    <t>510K Certifications</t>
  </si>
  <si>
    <t xml:space="preserve">Independent Contractors </t>
  </si>
  <si>
    <t xml:space="preserve">Training </t>
  </si>
  <si>
    <t xml:space="preserve">Clinical Studies and Research Arrangements  </t>
  </si>
  <si>
    <t>Contract Compliance/Management</t>
  </si>
  <si>
    <t xml:space="preserve">Social Media </t>
  </si>
  <si>
    <t xml:space="preserve">Marketing </t>
  </si>
  <si>
    <t>Conflicts of Interest</t>
  </si>
  <si>
    <t>Healthcare Compliance</t>
  </si>
  <si>
    <t xml:space="preserve">CTPAT Certification </t>
  </si>
  <si>
    <t xml:space="preserve">Operations </t>
  </si>
  <si>
    <t>Harmonized Tariff Code Systems</t>
  </si>
  <si>
    <t>Trade Sanctions Compliance</t>
  </si>
  <si>
    <t>State Transparency Reporting</t>
  </si>
  <si>
    <t>Transparency Reporting</t>
  </si>
  <si>
    <t>Federal Transparency Reporting</t>
  </si>
  <si>
    <t>International Transparency Reporting</t>
  </si>
  <si>
    <t>Online Workforce Training</t>
  </si>
  <si>
    <t>Training</t>
  </si>
  <si>
    <t>Offline Workforce Training</t>
  </si>
  <si>
    <t xml:space="preserve">Sales Compensation Programs </t>
  </si>
  <si>
    <t>Sales Operations</t>
  </si>
  <si>
    <t>Health Plan:  Employee Education</t>
  </si>
  <si>
    <t xml:space="preserve">Health Plan Contract Administration </t>
  </si>
  <si>
    <t xml:space="preserve">Health Plan: Claims Billing and Reimbursement </t>
  </si>
  <si>
    <t xml:space="preserve">Health Plan: Complaints and Grievances </t>
  </si>
  <si>
    <t xml:space="preserve">New/Updated Regulations  </t>
  </si>
  <si>
    <t xml:space="preserve">Investigations (consolidated under Reporting Misconduct) </t>
  </si>
  <si>
    <t>Healthcare Compliance (under Purak)</t>
  </si>
  <si>
    <t>HCP In-services/Meals</t>
  </si>
  <si>
    <t>HCP Contracting</t>
  </si>
  <si>
    <t>Grants</t>
  </si>
  <si>
    <t>Gifts</t>
  </si>
  <si>
    <t xml:space="preserve">Events </t>
  </si>
  <si>
    <t xml:space="preserve">Product Diverters and Reselling </t>
  </si>
  <si>
    <t>Single-use Evaluation Products</t>
  </si>
  <si>
    <t xml:space="preserve">Reporting Misconduct/Investigations </t>
  </si>
  <si>
    <t>Discounts / Rebates</t>
  </si>
  <si>
    <t xml:space="preserve"> HCP Payments</t>
  </si>
  <si>
    <t>Multiple-use Evaluation Products</t>
  </si>
  <si>
    <t>Evaluation/Demonstation Products</t>
  </si>
  <si>
    <t>Contract Sales Staff</t>
  </si>
  <si>
    <t>Charitable Donations</t>
  </si>
  <si>
    <t>ESG</t>
  </si>
  <si>
    <t xml:space="preserve">Environmental, Social and Governance (ESG) </t>
  </si>
  <si>
    <t>ABAC: Interactions with Gov Officials</t>
  </si>
  <si>
    <t xml:space="preserve">ABAC </t>
  </si>
  <si>
    <t>ABAC: Third-party Management</t>
  </si>
  <si>
    <t>ABAC</t>
  </si>
  <si>
    <t>Likelihood Category</t>
  </si>
  <si>
    <t xml:space="preserve">Risk  </t>
  </si>
  <si>
    <t>Risk Category</t>
  </si>
  <si>
    <t>Significant</t>
  </si>
  <si>
    <t>Severe</t>
  </si>
  <si>
    <t>Minimal</t>
  </si>
  <si>
    <t>Moderate</t>
  </si>
  <si>
    <t>Limited</t>
  </si>
  <si>
    <t>Fair Chance</t>
  </si>
  <si>
    <t>Very Unlikely</t>
  </si>
  <si>
    <t>Possible</t>
  </si>
  <si>
    <t>Likely</t>
  </si>
  <si>
    <t>Almost Certain</t>
  </si>
  <si>
    <t>Ref ID</t>
  </si>
  <si>
    <t>Impact Category</t>
  </si>
  <si>
    <t>Control</t>
  </si>
  <si>
    <t>Net Risk</t>
  </si>
  <si>
    <t>Good</t>
  </si>
  <si>
    <t>Very Strong</t>
  </si>
  <si>
    <t>Control Category</t>
  </si>
  <si>
    <t>New Risk Name</t>
  </si>
  <si>
    <t xml:space="preserve">Healthcare Compliance  Royalty Payments </t>
  </si>
  <si>
    <t>Healthcare Compliance Contract Sales Staff</t>
  </si>
  <si>
    <t xml:space="preserve">Marketing  Social Media </t>
  </si>
  <si>
    <t>Donations</t>
  </si>
  <si>
    <t>Contracting</t>
  </si>
  <si>
    <t xml:space="preserve">Complaints and Grievances </t>
  </si>
  <si>
    <t xml:space="preserve">Contract Administration </t>
  </si>
  <si>
    <t>Third-party Management</t>
  </si>
  <si>
    <t>HCP Payments</t>
  </si>
  <si>
    <t xml:space="preserve">Claims Billing and Reimbursement </t>
  </si>
  <si>
    <t>Mergers and Acquisition</t>
  </si>
  <si>
    <t xml:space="preserve">ACHC Accreditation </t>
  </si>
  <si>
    <t>Exclusion Checks</t>
  </si>
  <si>
    <t xml:space="preserve">State Limitations on Offshoring </t>
  </si>
  <si>
    <t>Government Contracts</t>
  </si>
  <si>
    <t xml:space="preserve">Trade Agreement and Buy American Compliance </t>
  </si>
  <si>
    <t>Non Discrimation Requirement Compliance</t>
  </si>
  <si>
    <t xml:space="preserve">Government Contracts - False Claims </t>
  </si>
  <si>
    <t>Employee Education</t>
  </si>
  <si>
    <t>Investigations</t>
  </si>
  <si>
    <t>In-services/Meals</t>
  </si>
  <si>
    <t xml:space="preserve">Medline University </t>
  </si>
  <si>
    <t>(1-5)</t>
  </si>
  <si>
    <t>(6-10)</t>
  </si>
  <si>
    <t>(11-15)</t>
  </si>
  <si>
    <t>(16-20)</t>
  </si>
  <si>
    <t>Impact Score</t>
  </si>
  <si>
    <t>Likelihood Score</t>
  </si>
  <si>
    <t>Inherent Risk Key</t>
  </si>
  <si>
    <t>(21-25)</t>
  </si>
  <si>
    <t>Risk Range</t>
  </si>
  <si>
    <t>Risk Score(1)</t>
  </si>
  <si>
    <t>Risk Score (2)</t>
  </si>
  <si>
    <t>Likelihood</t>
  </si>
  <si>
    <t>What is the likelihood of something going wrong for Medline related to this business activity?</t>
  </si>
  <si>
    <t>Score</t>
  </si>
  <si>
    <t>Description</t>
  </si>
  <si>
    <t>Criteria</t>
  </si>
  <si>
    <t>Risk could occur in very rare circumstances. 0 – 5%.</t>
  </si>
  <si>
    <t>Risk could occur occasionally. 5 – 20%.</t>
  </si>
  <si>
    <t>Risk could occur in various circumstances. 20 – 50%.</t>
  </si>
  <si>
    <t>Risk could occur in most circumstances. 50 – 80%.</t>
  </si>
  <si>
    <t>Risk is expected to occur in most circumstances. Greater than 80%.</t>
  </si>
  <si>
    <t>Impact</t>
  </si>
  <si>
    <t>What is the level of impact on the business if the risk becomes reality?</t>
  </si>
  <si>
    <t>Minimal to no impact to the organization.</t>
  </si>
  <si>
    <t>Only minor or limited financial impact. Limited regulatory or law enforcement impact. Some operating inefficiencies and minor impact.</t>
  </si>
  <si>
    <t>Moderate to significant financial impact; Moderate regulatory or law enforcement impact.  Operating inefficiencies and moderate impact</t>
  </si>
  <si>
    <t>Significant compliance issues raised; significant financial impact; requires reporting to regulatory and/or law enforcement agencies; senior management notification required.  Potential to adversely impact the reputation of the organization.</t>
  </si>
  <si>
    <t>Severe impact; major effect on operations; significant financial impact and regulatory non-compliance; intervention by regulatory agencies very likely; senior management and Board notification required.  Major adverse impact to the reputation of the organization.</t>
  </si>
  <si>
    <t>Are there policies, procedures, training, oversight/monitoring, or other technical controls in place to mitigate the risk?</t>
  </si>
  <si>
    <t>No or/and minimal internal controls and very minimal management utilization.</t>
  </si>
  <si>
    <t>Some controls are utilized; however they may need to be updated.  Most are manual.  Management utilizes the controls but not on a consistent basis.</t>
  </si>
  <si>
    <t>Internal controls are generally available for monitoring/protecting operations.  Management monitors control effectiveness.  A few metrics are utilized to indicate that controls are working and risks are being mitigated.</t>
  </si>
  <si>
    <t>Good controls and metrics to address risks.  Management is active in monitoring and controls are updated as needed.  Metric available to indicate whether controls are working as intended.</t>
  </si>
  <si>
    <t>Management is aware of its risks and understands how to institute and use internal controls.  Strong controls in place including metrics that indicate whether controls are working as intended.  Management actively and effectively utilizes controls in running operation. Management regularly verifies that controls are effective.  Controls updated to address new risks as they become known.</t>
  </si>
  <si>
    <t>Risk(s) Description</t>
  </si>
  <si>
    <t xml:space="preserve">Inadequate third-party management procedures (e.g., Lack of no due diligence requirements, documentation, lack of completeness for population of third parties subject to due diligence). Corruption in an organization's third-party risk management framework processes can expose the organization to compliance, financial and reputational risks. </t>
  </si>
  <si>
    <t xml:space="preserve">Inappropriate interactions/transfers of value with government officials or individuals that act in an official capacity for governments or public organizations in order to influence business decisions. </t>
  </si>
  <si>
    <t xml:space="preserve">Public disclosures related to ESG metrics are not accurate and/or supported and could result in allegations of "greenwashing" and loss of public/investor confidence and increase risks of liability/litigation. </t>
  </si>
  <si>
    <t>Charitable donations provided to existing or potential customers to induce or encourage purchase of Medline products that may violate various regulatory clauses such as Anti-kickback statute, FCPA, Sunshine Act, Anti-terrorism laws, internal revenue code laws, and other local laws/regulations where Medline does business. Violations can result in large fines, program exclusions, reputational damage, and other criminal penalties.</t>
  </si>
  <si>
    <t>Contractor sales staff acting on behalf of Medline are providing transfers of value to induce or encourage purchase of Medline products that may violate the Anti-Kickback Statute, Sunshine Act Law, and other local laws/regulations in jurisdictions where Medline does business. Violations can result in large fines, program exclusion, reputational damage, and other criminal penalties.</t>
  </si>
  <si>
    <t>Demonstration capital equiptment or single-use demonstration products provided to induce or encourage purchase of Medline products that may violate the Anti-Kickback Statute, Sunshine Act Law, and other local laws/regulations in jurisdictions where Medline does business. Violations can result in large fines, program exclusion, reputational damage, and other criminal penalties.
Note: Capital equipment or single-use product used to demonstrate the appropriate use and functionality of the product to HCPs excluding use on patients.</t>
  </si>
  <si>
    <t>Multiple-use evaluation products such as Capital equiptment provided to induce or encourage purchase of Medline products that may violate the Anti-Kickback Statute, Sunshine Act Law, and other local laws/regulations in jurisdictions where Medline does business. Violations can result in large fines, program exclusion, reputational damage, and other criminal penalties.
Note: Multiple-use products provided to HCPs as part of a formal evaluation to assess product features, performance and functionality on patients or in-patient procedures.</t>
  </si>
  <si>
    <t>Direct payments made to HCPs (SAP) are provided to induce or encourage purchase of Medline products that may violate the Anti-Kickback Statute, Sunshine Act Law, and other local laws/regulations in jurisdictions where Medline does business. Violations can result in large fines, program exclusion, reputational damage, and other criminal penalties.</t>
  </si>
  <si>
    <t>Customer pricing discounts and rebates are provided to induce or encourage purchase of Medline products that may violate the Anti-Kickback Statute, and other local laws/regulations in jurisdictions where Medline does business. Violations can result in large fines, program exclusion, reputational damage, and other criminal penalties.</t>
  </si>
  <si>
    <t>Employees are not raising concerns or filing reports regarding potential misconduct or violations using EthicsPoint or the Compliance hotline.</t>
  </si>
  <si>
    <t>Single-use evaluation products such as consumables or disposables provided to induce or encourage purchase of Medline products that may violate the Anti-Kickback Statute, Sunshine Act Law, and other local laws/regulations in jurisdictions where Medline does business. Violations can result in large fines, program exclusion, reputational damage, and other criminal penalties.
Note: Single-use products provided to HCPs as part of a formal evaluation to assess product features, performance and functionality on patients or in-patient procedures.</t>
  </si>
  <si>
    <t xml:space="preserve">Products may be diverted and resold through unauthorized channels which can lead to reduced profits, reputational harm and negative impact on customer relationships.  </t>
  </si>
  <si>
    <t>Internal and external events sponsorship provided to induce or encourage purchase of Medline products that may violate thee Anti-Kickback Statute, Sunshine Act Law, and other local laws/regulations in jurisdictions where Medline does business. Violations can result in large fines, program exclusion, reputational damage, and other criminal penalties.</t>
  </si>
  <si>
    <t>Gifts provided to HCPs or their affiliates/employees to induce or encourage purchase of Medline products that may violate the Anti-Kickback Statute, Sunshine Act Law, and other local laws/regulations in jurisdictions where Medline does business. Violations can result in large fines, program exclusion, reputational damage, and other criminal penalties.</t>
  </si>
  <si>
    <t>Educational, research, fellowship, or other grants are provided to induce or encourage purchase of Medline products that may violate the Anti-Kickback Statute, Sunshine Act Law, and other local laws/regulations in jurisdictions where Medline does business. Violations can result in large fines, program exclusion, reputational damage, and other criminal penalties.</t>
  </si>
  <si>
    <t>Payments are made to HCPs without a valid contract describing the work performed. Compensation is not commensurate or at Fair Market Value (FMV) rate with the work being provided, in order to induce or encourage purchase of Medline products that may violate the Anti-Kickback Statute, Sunshine Act Law, and other local laws/regulations in jurisdictions where Medline does business. Violations can result in large fines, program exclusion, reputational damage, and other criminal penalties.</t>
  </si>
  <si>
    <t>Customer Inservices/meals are provided to induce or encourage purchase of Medline products that may violate the Anti-Kickback Statute, Sunshine Act Law, and other local laws/regulations in jurisdictions where Medline does business. Violations can result in large fines, program exclusion, reputational damage, and other criminal penalties.</t>
  </si>
  <si>
    <t xml:space="preserve">Organizations that fail to conduct proper and timely investigations into potential compliance violations may face legal/government action if they mishandle a workplace investigation. Failure to respond properly to investigation requests could result in significant fines/penalities and legal settlements. </t>
  </si>
  <si>
    <t>New or updated regulatory compliance requirements are not identified timely resulting in noncompliance with laws and regulations. Violations can result in large fines, program exclusion, reputational damage, and other criminal penalties.</t>
  </si>
  <si>
    <t xml:space="preserve">Failure to appropriately respond to payor/customer complaints and grievances in a timely manner could result in breach of contracts, fines/penalties.  </t>
  </si>
  <si>
    <t xml:space="preserve">Lack of documentation to support billed services per payor/Medicare/Medicaid requirements. Claims are not created and/or not submitted to payors timely. Claims are not transmitted "clean" according to payor requirements, resulting in denials, rejects and rebills and/or denials are not worked timely. Incorrect payment amounts received from third party payors (under/overpayments); can result in misstated accounts receiveable, lost revenue/credit balances. </t>
  </si>
  <si>
    <t xml:space="preserve">Poorly negotiated contracts with terms that are not advantageous to Medline. Lack of appropriate management oversight over negotiated/renegotiated contracts. Contract performance is not monitored to ensure payment accuracy and/or adherence to contract terms. </t>
  </si>
  <si>
    <t xml:space="preserve">Managed Care staff do not receive FWA and other training required by the payors. </t>
  </si>
  <si>
    <t xml:space="preserve">Incentive compensation programs inappropriately motivate individuals to engage in improper marketing/sales activities of products. Misaligned incentive programs could be at risk of potential enforcement action.  </t>
  </si>
  <si>
    <t>Key compliance training courses are not being completed or received by "offline" Medline employees who do not have access to a laptop/email.</t>
  </si>
  <si>
    <t>Key compliance training courses are not being completed or received by "online" Medline employees who have access to a laptop/email.</t>
  </si>
  <si>
    <t>Non-compliance with transparency reporting requirements of various Ex-US countries, which can result in various fines (up to or larger than 225,000 Euros) along with many possible sanctions/bans. Can result in reputational damage.</t>
  </si>
  <si>
    <t>Non-compliance with the Federal Sunshine Act Law requirements, resulting in financial penalties ranging from: (a) $1,000 to $10,000 for each payment or transfer of value not reported; and (b) $10,000 to $100,000 for “knowingly” failing to report a payment or transfer of value. Can result in reputational damage and leverage for other agencies, including DOJ, to conduct audit on conduct in connection with Anti-Kickback Statute (AKS). Potantial for federal program exclusion and other penalties.</t>
  </si>
  <si>
    <t>Non-compliance with various state aggregate spend requirements due to incomplete or inaccurate data submission, resulting in fines as high as $10,000 per violation based on jurisdiction. Can result in reputational damage.</t>
  </si>
  <si>
    <t xml:space="preserve">Violations of US/Global economic and trade sanctions can result in significant fines/penalties and reputational harm. </t>
  </si>
  <si>
    <t xml:space="preserve">Failure to place accurate HTS codes on products imported/exported an results in significant risks of fines/penalities as these codes drive US customs taxation. Incorrect codes can also lead to border delays, seizures of products or denials of import privileges. </t>
  </si>
  <si>
    <t xml:space="preserve">Failure to achieve and maintain CTPAT Certification would significantly impact operations as this certification allows Medline to move freely between Mexico and Canada. </t>
  </si>
  <si>
    <t xml:space="preserve">Employee conflicts of interest increases the risk of bias or poor judgement because of an obligation or commitment to two or more competing interests. Risk of reputational harm and erosion of trust with customers.  </t>
  </si>
  <si>
    <t xml:space="preserve">The public may interact on social media to provide feedback or comments that have a negative impact on the organizatoin brand and image. Employees disseminate proprietary information that harms the reputatation of the organization. Failure to manage social media accounts can lead to public relations issues. </t>
  </si>
  <si>
    <t xml:space="preserve">Poor contracting processes and procedures can lead to poor performance, legal liability issues from breach of contract, may result in lower profits, higher expenses, damage to business relationships, customer dissatisfaction, and harm to the company's goodwill. </t>
  </si>
  <si>
    <t xml:space="preserve">Payments are made to HCPs to induce the use of Medline products are inappropriately disguised as clinical research payments. Non-compliance with FDA clinical research requirements can lead to fines/penalties, failure to achieve medical device authorization. Inaccuate/falsified clinical research data; inadequate monitoring of clinical investigations; under-reporting or delay in submission of adverse events. </t>
  </si>
  <si>
    <t xml:space="preserve">Key compliance training courses are not being completed or received by independent contractors doing work on behalf of Medline. </t>
  </si>
  <si>
    <t xml:space="preserve">Premarket Notifications. Failure to notify FDA of intent to market a medical device at least 90 days in advance may result in fines/penalities, suspension of ability to sell product, impacting financial performance. </t>
  </si>
  <si>
    <t xml:space="preserve">EU MDR is a new set of regulations that govern the manufacturing and distribution of medical devices in the EU. </t>
  </si>
  <si>
    <t>Failure to integrate the acquired entity's operations and policies with those of the acquiring organization may result in regulatory non-compliance.</t>
  </si>
  <si>
    <t xml:space="preserve">Failure to comply with FDA requirements can result in fines/penalites, inability to sell product resulting in financial loss. </t>
  </si>
  <si>
    <t xml:space="preserve">Adherence to sterilization requirements. Risk of contamination of resuable medical devices can result in patient harm. </t>
  </si>
  <si>
    <t>HCPs receive compensation for participating in speaker programs organized with the intent to induce HCPs to promote or order company products. Speaker programs may violate thee Anti-Kickback Statute, Sunshine Act Law, and other local laws/regulations in jurisdictions where Medline does business. Violations can result in large fines, program exclusion, reputational damage, and other criminal penalties.</t>
  </si>
  <si>
    <t>OIG Advisory Opinion states that continuing education programs that are educational in nature may constitute a vehicle to provide remuneration to referral sources in violation of the Federal anti-kickback statute in some circumstances.</t>
  </si>
  <si>
    <t xml:space="preserve">Risk of entering arrangements to compensate HCPs for significant contributions related to product development and IP. Compensation arranagements may not be apprioriately document and calculations may not be accurate. Royalty payments may be conditioned on requirements that HCPs recommend, purchase or order products from the company. </t>
  </si>
  <si>
    <t>Failure to meet the credentialing and accreditation standards of payors could result in loss of revenue due to inability to furnish supplies to beneficiaries and submit claims for reimbursement.</t>
  </si>
  <si>
    <t xml:space="preserve">Failure to conduct the approriate exclusion checks can result in the govenrment agencies impose financial penalties and/or the xclusion from federal healthcare prorams. </t>
  </si>
  <si>
    <t xml:space="preserve">States may restrict health plans from offshoring services/jobs have requirements to disclose any contracted services that are offshored.  </t>
  </si>
  <si>
    <t>Businesses must carefully negotiate and manage contracts in compliance with FAR provisions. Failure to understand and meet contract requirements can result in disputes, delays, and potential damage to the business relationship with the government.</t>
  </si>
  <si>
    <t>Existing Controls</t>
  </si>
  <si>
    <t>Compliance Policies CC-200, CC-201
Third Party Due Diligence (Compliance Desktop)
Whistle Blower Hotline (Navex)
ABAC language included in standard contract template</t>
  </si>
  <si>
    <t>Compliance Policy
Compliance review of charitable donations initiated by Corporate Responsibility team
Tracking of personal donations via tracking forms</t>
  </si>
  <si>
    <t xml:space="preserve">Compliance policy CC-309
Pre-approval process for HCP payments.
</t>
  </si>
  <si>
    <t>Compliance Policy - updated policy to be released 1st qtr 2024 and SOP in development. 
Compliance review of rebates / discounts provided to customers and / or intermediaries</t>
  </si>
  <si>
    <t>Oversight, reporting as needed</t>
  </si>
  <si>
    <t>Multiple use: Compliance policies CC-310, CC-313.
Single use: Compliance policies CC-304, CC-313.</t>
  </si>
  <si>
    <t xml:space="preserve">Compliance policies CC-306, CC-307.
Events require Compliance pre-approval.
Report scheduled to Compliance Office inbox for any events with HCP in attendance under $10,000 which bypass.
</t>
  </si>
  <si>
    <t>Compliance Policy
Compliance review of potential gifts / giveaways in ZenDesk
Code of conduct (guidelines for accepting gifts from third parties)</t>
  </si>
  <si>
    <t>Compliance Policy
Compliance review of grants initiated by Corporate Responsibility team</t>
  </si>
  <si>
    <t>Compliance Policies
Compliance review of consulting agreements prior to execution  (Fair Market Value analysis)</t>
  </si>
  <si>
    <t xml:space="preserve">Compliance policies CC-316, CC-302.
Medline Sign-in Sheet.
Concur system (Expense Reporting team)
</t>
  </si>
  <si>
    <t>Ad-hoc investigations performed by Compliance, Legal, or external third parties. 
Certain cases recorded / documented in Navex / Ethicspoint when reported through email / web / phone hotlines.</t>
  </si>
  <si>
    <t>Ad-hoc review of new / updated regulatory compliance requirements</t>
  </si>
  <si>
    <t>Internal investigation and response, enacts corrective and preventative actions.</t>
  </si>
  <si>
    <t xml:space="preserve">audit processes in place for claims pre bill; abn processes; documentatoin improvement standards, etc. </t>
  </si>
  <si>
    <t xml:space="preserve">Contracts reviewed for roughy 90% of revenue. Cleanup of contracts/controls enhanced. </t>
  </si>
  <si>
    <t xml:space="preserve">Training only deployed to Managed Care staff. </t>
  </si>
  <si>
    <t>MyMedLearn / office employees in ComplianceWire</t>
  </si>
  <si>
    <t xml:space="preserve">Uncertain as to the level of control in this area; this will be addressed during global gap assessments, </t>
  </si>
  <si>
    <t xml:space="preserve">Compliance policy CC-313.
Expense Reporting team procedures.
Transparency Playbook.
</t>
  </si>
  <si>
    <t xml:space="preserve">Per Risk Tracker Summary (Alex Risk Committee Materials Nov 2023) thie Compliance program for trade is underdeveloped relative to volume of imports/exports. There is a separate GTC risk heat map and remediation plan that exists for trade. </t>
  </si>
  <si>
    <t xml:space="preserve">Compliance Wire certification, if Yes goes to EP and then certification not completed in CW. Inefficient process for recording the COI. EP has a COI module that should be explored to make process more efficient and understandable. </t>
  </si>
  <si>
    <t xml:space="preserve">Use of Social medica included in Code of Conduct policy and also communciated on the Source (ESG) </t>
  </si>
  <si>
    <t xml:space="preserve">Legal implemented a large effort to consolidate contracts in network folders; however, there are still random areas/pockets which do not submit finalized contracts through Legal. There is no SOP or contracting procedure. There may be ad hoc controls over contracts in certain areas/global regions but they may not be consistently applied and/or not standardized. </t>
  </si>
  <si>
    <t xml:space="preserve">Policies and procedures, workflows exist over this process. </t>
  </si>
  <si>
    <t xml:space="preserve">Compliance meets periodically with M&amp;A re: M&amp;A activity. </t>
  </si>
  <si>
    <t xml:space="preserve">Highly regulated environment, FDA requirements include robust audit requirements and CAP remediation standards, etc. Audit teams exist in quality, annual audit plans are updated yearly. Formal reports are published and action plans monitored for completion. </t>
  </si>
  <si>
    <t xml:space="preserve">When identified on annual plan, Kim issues notificatoin for additional training, Compliance probes for additional information on these programs. Complaince approves these programs in advance based on information provided. 1 regulatory person reviews materials for all products due to licensing  issues. Interactions with HCPs and Customers POlicy </t>
  </si>
  <si>
    <t xml:space="preserve">Appears to be minimal level of control in this area. </t>
  </si>
  <si>
    <t xml:space="preserve">Vendor Contract Templates, Federal and State research, Onboarding Participation, Standard Operating Procedures.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</si>
</sst>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font>
      <sz val="11"/>
      <color theme="1"/>
      <name val="Aptos Narrow"/>
      <family val="2"/>
      <scheme val="minor"/>
    </font>
    <font>
      <sz val="11"/>
      <color rgb="FF000000"/>
      <name val="Aptos Narrow"/>
      <family val="2"/>
      <scheme val="minor"/>
    </font>
    <font>
      <b/>
      <sz val="11"/>
      <color rgb="FF000000"/>
      <name val="Aptos Narrow"/>
      <family val="2"/>
      <scheme val="minor"/>
    </font>
    <font>
      <i/>
      <sz val="11"/>
      <color rgb="FF000000"/>
      <name val="Aptos Narrow"/>
      <family val="2"/>
      <scheme val="minor"/>
    </font>
    <font>
      <b/>
      <sz val="9"/>
      <color indexed="81"/>
      <name val="Tahoma"/>
      <family val="2"/>
    </font>
    <font>
      <sz val="9"/>
      <color indexed="81"/>
      <name val="Tahoma"/>
      <family val="2"/>
    </font>
    <font>
      <sz val="9"/>
      <color indexed="81"/>
      <name val="Tahoma"/>
      <charset val="1"/>
    </font>
    <font>
      <b/>
      <sz val="9"/>
      <color indexed="81"/>
      <name val="Tahoma"/>
      <charset val="1"/>
    </font>
  </fonts>
  <fills count="8">
    <fill>
      <patternFill patternType="none"/>
    </fill>
    <fill>
      <patternFill patternType="gray125"/>
    </fill>
    <fill>
      <patternFill patternType="solid">
        <fgColor theme="0"/>
        <bgColor indexed="64"/>
      </patternFill>
    </fill>
    <fill>
      <patternFill patternType="solid">
        <fgColor rgb="FFDDEBF7"/>
        <bgColor rgb="FF000000"/>
      </patternFill>
    </fill>
    <fill>
      <patternFill patternType="solid">
        <fgColor rgb="FF00B050"/>
        <bgColor rgb="FF000000"/>
      </patternFill>
    </fill>
    <fill>
      <patternFill patternType="solid">
        <fgColor rgb="FFFFFF00"/>
        <bgColor rgb="FF000000"/>
      </patternFill>
    </fill>
    <fill>
      <patternFill patternType="solid">
        <fgColor rgb="FFBFBFBF"/>
        <bgColor rgb="FF000000"/>
      </patternFill>
    </fill>
    <fill>
      <patternFill patternType="solid">
        <fgColor theme="2"/>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s>
  <cellStyleXfs count="1">
    <xf numFmtId="0" fontId="0" fillId="0" borderId="0"/>
  </cellStyleXfs>
  <cellXfs count="49">
    <xf numFmtId="0" fontId="0" fillId="0" borderId="0" xfId="0"/>
    <xf numFmtId="0" fontId="1" fillId="0" borderId="1" xfId="0" applyFont="1" applyBorder="1" applyAlignment="1">
      <alignment horizontal="center" vertical="top" wrapText="1"/>
    </xf>
    <xf numFmtId="0" fontId="0" fillId="2" borderId="1" xfId="0" applyFill="1" applyBorder="1" applyAlignment="1">
      <alignment vertical="top"/>
    </xf>
    <xf numFmtId="0" fontId="0" fillId="0" borderId="1" xfId="0" applyBorder="1" applyAlignment="1">
      <alignment vertical="top"/>
    </xf>
    <xf numFmtId="0" fontId="0" fillId="0" borderId="1" xfId="0" applyBorder="1" applyAlignment="1">
      <alignment horizontal="center" vertical="top"/>
    </xf>
    <xf numFmtId="0" fontId="0" fillId="0" borderId="0" xfId="0" applyAlignment="1">
      <alignment vertical="top"/>
    </xf>
    <xf numFmtId="0" fontId="0" fillId="2" borderId="1" xfId="0" applyFill="1" applyBorder="1" applyAlignment="1">
      <alignment vertical="top" wrapText="1"/>
    </xf>
    <xf numFmtId="0" fontId="1" fillId="2" borderId="1" xfId="0" applyFont="1" applyFill="1" applyBorder="1" applyAlignment="1">
      <alignment horizontal="left" vertical="top" wrapText="1"/>
    </xf>
    <xf numFmtId="0" fontId="1" fillId="0" borderId="1" xfId="0" applyFont="1" applyBorder="1" applyAlignment="1">
      <alignment horizontal="left" vertical="top" wrapText="1"/>
    </xf>
    <xf numFmtId="0" fontId="0" fillId="0" borderId="1" xfId="0" applyBorder="1" applyAlignment="1">
      <alignment horizontal="center" vertical="top" wrapText="1"/>
    </xf>
    <xf numFmtId="0" fontId="0" fillId="0" borderId="1" xfId="0" applyBorder="1" applyAlignment="1">
      <alignment vertical="top" wrapText="1"/>
    </xf>
    <xf numFmtId="0" fontId="0" fillId="0" borderId="2" xfId="0" applyBorder="1" applyAlignment="1">
      <alignment horizontal="center" vertical="top" wrapText="1"/>
    </xf>
    <xf numFmtId="0" fontId="0" fillId="0" borderId="2" xfId="0" applyBorder="1" applyAlignment="1">
      <alignment vertical="top" wrapText="1"/>
    </xf>
    <xf numFmtId="0" fontId="0" fillId="0" borderId="3" xfId="0" applyBorder="1" applyAlignment="1">
      <alignment horizontal="center" vertical="top" wrapText="1"/>
    </xf>
    <xf numFmtId="0" fontId="0" fillId="0" borderId="3" xfId="0" applyBorder="1" applyAlignment="1">
      <alignment vertical="top" wrapText="1"/>
    </xf>
    <xf numFmtId="0" fontId="0" fillId="0" borderId="0" xfId="0" applyAlignment="1">
      <alignment horizontal="left" vertical="top"/>
    </xf>
    <xf numFmtId="0" fontId="0" fillId="0" borderId="0" xfId="0" applyAlignment="1">
      <alignment horizontal="center" vertical="top"/>
    </xf>
    <xf numFmtId="0" fontId="0" fillId="0" borderId="0" xfId="0" applyAlignment="1">
      <alignment horizontal="left"/>
    </xf>
    <xf numFmtId="0" fontId="0" fillId="0" borderId="3" xfId="0" applyBorder="1" applyAlignment="1">
      <alignment horizontal="left" vertical="top" wrapText="1"/>
    </xf>
    <xf numFmtId="0" fontId="0" fillId="2" borderId="3" xfId="0" applyFill="1" applyBorder="1" applyAlignment="1">
      <alignment horizontal="center" vertical="top"/>
    </xf>
    <xf numFmtId="0" fontId="0" fillId="2" borderId="3" xfId="0" applyFill="1" applyBorder="1" applyAlignment="1">
      <alignment horizontal="left" vertical="top"/>
    </xf>
    <xf numFmtId="0" fontId="1" fillId="0" borderId="4" xfId="0" applyFont="1" applyBorder="1" applyAlignment="1">
      <alignment horizontal="center" vertical="top" wrapText="1"/>
    </xf>
    <xf numFmtId="0" fontId="0" fillId="0" borderId="1" xfId="0" applyBorder="1" applyAlignment="1">
      <alignment horizontal="left" vertical="top" wrapText="1"/>
    </xf>
    <xf numFmtId="0" fontId="2" fillId="3" borderId="4" xfId="0" applyFont="1" applyFill="1" applyBorder="1" applyAlignment="1">
      <alignment horizontal="center" vertical="top" wrapText="1"/>
    </xf>
    <xf numFmtId="0" fontId="2" fillId="3" borderId="1" xfId="0" applyFont="1" applyFill="1" applyBorder="1" applyAlignment="1">
      <alignment horizontal="center" vertical="top" wrapText="1"/>
    </xf>
    <xf numFmtId="0" fontId="1" fillId="0" borderId="6" xfId="0" applyFont="1" applyBorder="1" applyAlignment="1">
      <alignment horizontal="center" vertical="top" wrapText="1"/>
    </xf>
    <xf numFmtId="0" fontId="0" fillId="0" borderId="6" xfId="0" applyBorder="1" applyAlignment="1">
      <alignment horizontal="center" vertical="top" wrapText="1"/>
    </xf>
    <xf numFmtId="0" fontId="1" fillId="0" borderId="7" xfId="0" applyFont="1" applyBorder="1" applyAlignment="1">
      <alignment horizontal="center" vertical="top" wrapText="1"/>
    </xf>
    <xf numFmtId="0" fontId="0" fillId="2" borderId="8" xfId="0" applyFill="1" applyBorder="1" applyAlignment="1">
      <alignment horizontal="center" vertical="top"/>
    </xf>
    <xf numFmtId="0" fontId="0" fillId="0" borderId="8" xfId="0" applyBorder="1" applyAlignment="1">
      <alignment horizontal="center" vertical="top" wrapText="1"/>
    </xf>
    <xf numFmtId="0" fontId="0" fillId="0" borderId="9" xfId="0" applyBorder="1" applyAlignment="1">
      <alignment horizontal="center" vertical="top" wrapText="1"/>
    </xf>
    <xf numFmtId="0" fontId="2" fillId="4" borderId="5" xfId="0" applyFont="1" applyFill="1" applyBorder="1" applyAlignment="1">
      <alignment horizontal="center" vertical="top" wrapText="1"/>
    </xf>
    <xf numFmtId="0" fontId="2" fillId="4" borderId="4" xfId="0" applyFont="1" applyFill="1" applyBorder="1" applyAlignment="1">
      <alignment horizontal="center" vertical="top" wrapText="1"/>
    </xf>
    <xf numFmtId="0" fontId="0" fillId="0" borderId="2" xfId="0" applyBorder="1" applyAlignment="1">
      <alignment horizontal="left" vertical="top"/>
    </xf>
    <xf numFmtId="0" fontId="0" fillId="0" borderId="2" xfId="0" applyBorder="1" applyAlignment="1">
      <alignment horizontal="left" vertical="top" wrapText="1"/>
    </xf>
    <xf numFmtId="0" fontId="1" fillId="0" borderId="4" xfId="0" applyFont="1" applyBorder="1" applyAlignment="1">
      <alignment horizontal="left" vertical="top" wrapText="1"/>
    </xf>
    <xf numFmtId="0" fontId="0" fillId="0" borderId="2" xfId="0" applyBorder="1" applyAlignment="1">
      <alignment horizontal="center" vertical="top"/>
    </xf>
    <xf numFmtId="0" fontId="0" fillId="0" borderId="9" xfId="0" applyBorder="1" applyAlignment="1">
      <alignment horizontal="center" vertical="top"/>
    </xf>
    <xf numFmtId="0" fontId="2" fillId="5" borderId="5" xfId="0" applyFont="1" applyFill="1" applyBorder="1" applyAlignment="1">
      <alignment horizontal="center" vertical="top" wrapText="1"/>
    </xf>
    <xf numFmtId="0" fontId="2" fillId="3" borderId="0" xfId="0" applyFont="1" applyFill="1" applyAlignment="1">
      <alignment horizontal="center" vertical="top" wrapText="1"/>
    </xf>
    <xf numFmtId="0" fontId="1" fillId="0" borderId="3" xfId="0" applyFont="1" applyBorder="1" applyAlignment="1">
      <alignment horizontal="center" vertical="center"/>
    </xf>
    <xf numFmtId="0" fontId="2" fillId="7" borderId="3" xfId="0" applyFont="1" applyFill="1" applyBorder="1" applyAlignment="1">
      <alignment horizontal="center"/>
    </xf>
    <xf numFmtId="0" fontId="1" fillId="0" borderId="3" xfId="0" applyFont="1" applyBorder="1"/>
    <xf numFmtId="0" fontId="1" fillId="0" borderId="3" xfId="0" applyFont="1" applyBorder="1" applyAlignment="1">
      <alignment horizontal="left" vertical="top"/>
    </xf>
    <xf numFmtId="0" fontId="1" fillId="0" borderId="3" xfId="0" applyFont="1" applyBorder="1" applyAlignment="1">
      <alignment horizontal="left" vertical="top" wrapText="1"/>
    </xf>
    <xf numFmtId="0" fontId="0" fillId="0" borderId="3" xfId="0" applyBorder="1" applyAlignment="1">
      <alignment horizontal="center" vertical="center"/>
    </xf>
    <xf numFmtId="0" fontId="1" fillId="0" borderId="0" xfId="0" applyFont="1" applyBorder="1" applyAlignment="1">
      <alignment horizontal="left" vertical="top" wrapText="1"/>
    </xf>
    <xf numFmtId="0" fontId="3" fillId="6" borderId="3" xfId="0" applyFont="1" applyFill="1" applyBorder="1" applyAlignment="1">
      <alignment horizontal="center" vertical="center" wrapText="1"/>
    </xf>
    <xf numFmtId="0" fontId="2" fillId="6"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T53"/>
  <sheetViews>
    <sheetView tabSelected="1" topLeftCell="H1" zoomScale="80" zoomScaleNormal="80" workbookViewId="0">
      <selection activeCell="M2" sqref="M2:M41"/>
    </sheetView>
  </sheetViews>
  <sheetFormatPr defaultColWidth="36.75" defaultRowHeight="14"/>
  <cols>
    <col min="1" max="1" width="11.9140625" bestFit="1" customWidth="1"/>
    <col min="2" max="2" width="42.33203125" bestFit="1" customWidth="1"/>
    <col min="3" max="3" width="57.9140625" bestFit="1" customWidth="1"/>
    <col min="4" max="6" width="57.9140625" customWidth="1"/>
    <col min="7" max="7" width="12.4140625" style="16" bestFit="1" customWidth="1"/>
    <col min="8" max="8" width="18.75" style="16" customWidth="1"/>
    <col min="9" max="9" width="15.6640625" style="16" bestFit="1" customWidth="1"/>
    <col min="10" max="10" width="24.33203125" style="16" customWidth="1"/>
    <col min="11" max="11" width="18.25" style="16" customWidth="1"/>
    <col min="12" max="12" width="16.4140625" style="16" customWidth="1"/>
    <col min="13" max="13" width="18.83203125" style="16" customWidth="1"/>
    <col min="14" max="14" width="19.08203125" style="16" customWidth="1"/>
    <col min="15" max="16" width="17.6640625" style="16" customWidth="1"/>
    <col min="17" max="17" width="12" style="16" bestFit="1" customWidth="1"/>
    <col min="18" max="18" width="12" style="16" customWidth="1"/>
    <col min="19" max="19" width="15.58203125" style="16" bestFit="1" customWidth="1"/>
    <col min="20" max="20" width="12" style="16" customWidth="1"/>
  </cols>
  <sheetData>
    <row r="1" spans="1:20">
      <c r="A1" s="24" t="s">
        <v>80</v>
      </c>
      <c r="B1" s="23" t="s">
        <v>69</v>
      </c>
      <c r="C1" s="23" t="s">
        <v>68</v>
      </c>
      <c r="D1" s="23" t="s">
        <v>87</v>
      </c>
      <c r="E1" s="23" t="s">
        <v>144</v>
      </c>
      <c r="F1" s="23" t="s">
        <v>194</v>
      </c>
      <c r="G1" s="23" t="s">
        <v>114</v>
      </c>
      <c r="H1" s="23" t="s">
        <v>81</v>
      </c>
      <c r="I1" s="23" t="s">
        <v>115</v>
      </c>
      <c r="J1" s="23" t="s">
        <v>67</v>
      </c>
      <c r="K1" s="32" t="s">
        <v>119</v>
      </c>
      <c r="L1" s="31" t="s">
        <v>118</v>
      </c>
      <c r="M1" s="31" t="s">
        <v>120</v>
      </c>
      <c r="N1" s="31" t="s">
        <v>69</v>
      </c>
      <c r="O1" s="38" t="s">
        <v>82</v>
      </c>
      <c r="P1" s="23" t="s">
        <v>86</v>
      </c>
      <c r="Q1" s="23" t="s">
        <v>83</v>
      </c>
      <c r="R1" s="39"/>
      <c r="S1" s="39"/>
      <c r="T1" s="39"/>
    </row>
    <row r="2" spans="1:20" ht="84">
      <c r="A2" s="4">
        <v>1</v>
      </c>
      <c r="B2" s="8" t="s">
        <v>66</v>
      </c>
      <c r="C2" s="8" t="s">
        <v>65</v>
      </c>
      <c r="D2" s="8" t="s">
        <v>95</v>
      </c>
      <c r="E2" s="8" t="s">
        <v>145</v>
      </c>
      <c r="F2" s="8" t="s">
        <v>195</v>
      </c>
      <c r="G2" s="1">
        <v>4</v>
      </c>
      <c r="H2" s="25" t="s">
        <v>70</v>
      </c>
      <c r="I2" s="25">
        <v>3</v>
      </c>
      <c r="J2" s="25" t="s">
        <v>75</v>
      </c>
      <c r="K2" s="4">
        <v>12</v>
      </c>
      <c r="L2" s="4" t="s">
        <v>112</v>
      </c>
      <c r="M2" s="4">
        <v>3</v>
      </c>
      <c r="N2" s="4" t="s">
        <v>73</v>
      </c>
      <c r="O2" s="4">
        <v>3</v>
      </c>
      <c r="P2" s="4" t="s">
        <v>73</v>
      </c>
      <c r="Q2" s="4">
        <f>G2*I2</f>
        <v>12</v>
      </c>
    </row>
    <row r="3" spans="1:20" ht="56">
      <c r="A3" s="4">
        <v>2</v>
      </c>
      <c r="B3" s="8" t="s">
        <v>64</v>
      </c>
      <c r="C3" s="8" t="s">
        <v>63</v>
      </c>
      <c r="D3" s="8" t="s">
        <v>63</v>
      </c>
      <c r="E3" s="8" t="s">
        <v>146</v>
      </c>
      <c r="F3" s="8" t="s">
        <v>195</v>
      </c>
      <c r="G3" s="1">
        <v>5</v>
      </c>
      <c r="H3" s="25" t="s">
        <v>71</v>
      </c>
      <c r="I3" s="25">
        <v>3</v>
      </c>
      <c r="J3" s="25" t="s">
        <v>75</v>
      </c>
      <c r="K3" s="4">
        <v>15</v>
      </c>
      <c r="L3" s="4" t="s">
        <v>112</v>
      </c>
      <c r="M3" s="4">
        <v>3</v>
      </c>
      <c r="N3" s="4" t="s">
        <v>73</v>
      </c>
      <c r="O3" s="4">
        <v>2</v>
      </c>
      <c r="P3" s="4" t="s">
        <v>74</v>
      </c>
      <c r="Q3" s="4">
        <f t="shared" ref="Q3:Q53" si="0">G3*I3</f>
        <v>15</v>
      </c>
    </row>
    <row r="4" spans="1:20" ht="42">
      <c r="A4" s="4">
        <v>3</v>
      </c>
      <c r="B4" s="8" t="s">
        <v>62</v>
      </c>
      <c r="C4" s="8" t="s">
        <v>61</v>
      </c>
      <c r="D4" s="8" t="s">
        <v>61</v>
      </c>
      <c r="E4" s="8" t="s">
        <v>147</v>
      </c>
      <c r="F4" s="8"/>
      <c r="G4" s="1">
        <v>1</v>
      </c>
      <c r="H4" s="25" t="s">
        <v>72</v>
      </c>
      <c r="I4" s="25">
        <v>1</v>
      </c>
      <c r="J4" s="25" t="s">
        <v>76</v>
      </c>
      <c r="K4" s="4">
        <v>1</v>
      </c>
      <c r="L4" s="4" t="s">
        <v>110</v>
      </c>
      <c r="M4" s="4">
        <v>1</v>
      </c>
      <c r="N4" s="4" t="s">
        <v>72</v>
      </c>
      <c r="O4" s="4">
        <v>1</v>
      </c>
      <c r="P4" s="4" t="s">
        <v>72</v>
      </c>
      <c r="Q4" s="4">
        <f t="shared" si="0"/>
        <v>1</v>
      </c>
    </row>
    <row r="5" spans="1:20" ht="98">
      <c r="A5" s="4">
        <v>4</v>
      </c>
      <c r="B5" s="8" t="s">
        <v>26</v>
      </c>
      <c r="C5" s="8" t="s">
        <v>60</v>
      </c>
      <c r="D5" s="8" t="s">
        <v>91</v>
      </c>
      <c r="E5" s="8" t="s">
        <v>148</v>
      </c>
      <c r="F5" s="8" t="s">
        <v>196</v>
      </c>
      <c r="G5" s="1">
        <v>4</v>
      </c>
      <c r="H5" s="25" t="s">
        <v>70</v>
      </c>
      <c r="I5" s="25">
        <v>3</v>
      </c>
      <c r="J5" s="25" t="s">
        <v>75</v>
      </c>
      <c r="K5" s="4">
        <v>12</v>
      </c>
      <c r="L5" s="4" t="s">
        <v>112</v>
      </c>
      <c r="M5" s="4">
        <v>3</v>
      </c>
      <c r="N5" s="4" t="s">
        <v>73</v>
      </c>
      <c r="O5" s="4">
        <v>4</v>
      </c>
      <c r="P5" s="4" t="s">
        <v>84</v>
      </c>
      <c r="Q5" s="4">
        <f t="shared" si="0"/>
        <v>12</v>
      </c>
    </row>
    <row r="6" spans="1:20" ht="84">
      <c r="A6" s="4">
        <v>5</v>
      </c>
      <c r="B6" s="8" t="s">
        <v>26</v>
      </c>
      <c r="C6" s="8" t="s">
        <v>59</v>
      </c>
      <c r="D6" s="8" t="s">
        <v>89</v>
      </c>
      <c r="E6" s="8" t="s">
        <v>149</v>
      </c>
      <c r="F6" s="8"/>
      <c r="G6" s="1">
        <v>3</v>
      </c>
      <c r="H6" s="25" t="s">
        <v>73</v>
      </c>
      <c r="I6" s="25">
        <v>2</v>
      </c>
      <c r="J6" s="25" t="s">
        <v>77</v>
      </c>
      <c r="K6" s="4">
        <v>6</v>
      </c>
      <c r="L6" s="4" t="s">
        <v>111</v>
      </c>
      <c r="M6" s="4">
        <v>2</v>
      </c>
      <c r="N6" s="4" t="s">
        <v>74</v>
      </c>
      <c r="O6" s="4">
        <v>1</v>
      </c>
      <c r="P6" s="4" t="s">
        <v>72</v>
      </c>
      <c r="Q6" s="4">
        <f t="shared" si="0"/>
        <v>6</v>
      </c>
    </row>
    <row r="7" spans="1:20" ht="140">
      <c r="A7" s="4">
        <v>6</v>
      </c>
      <c r="B7" s="8" t="s">
        <v>26</v>
      </c>
      <c r="C7" s="8" t="s">
        <v>58</v>
      </c>
      <c r="D7" s="8" t="s">
        <v>58</v>
      </c>
      <c r="E7" s="8" t="s">
        <v>150</v>
      </c>
      <c r="F7" s="8"/>
      <c r="G7" s="1">
        <v>4</v>
      </c>
      <c r="H7" s="25" t="s">
        <v>70</v>
      </c>
      <c r="I7" s="25">
        <v>3</v>
      </c>
      <c r="J7" s="25" t="s">
        <v>75</v>
      </c>
      <c r="K7" s="4">
        <v>12</v>
      </c>
      <c r="L7" s="4" t="s">
        <v>112</v>
      </c>
      <c r="M7" s="4">
        <v>3</v>
      </c>
      <c r="N7" s="4" t="s">
        <v>73</v>
      </c>
      <c r="O7" s="4">
        <v>2</v>
      </c>
      <c r="P7" s="4" t="s">
        <v>74</v>
      </c>
      <c r="Q7" s="4">
        <f t="shared" si="0"/>
        <v>12</v>
      </c>
    </row>
    <row r="8" spans="1:20" ht="140">
      <c r="A8" s="4">
        <v>7</v>
      </c>
      <c r="B8" s="8" t="s">
        <v>26</v>
      </c>
      <c r="C8" s="8" t="s">
        <v>57</v>
      </c>
      <c r="D8" s="8" t="s">
        <v>57</v>
      </c>
      <c r="E8" s="8" t="s">
        <v>151</v>
      </c>
      <c r="F8" s="8"/>
      <c r="G8" s="1">
        <v>4</v>
      </c>
      <c r="H8" s="25" t="s">
        <v>70</v>
      </c>
      <c r="I8" s="25">
        <v>3</v>
      </c>
      <c r="J8" s="25" t="s">
        <v>75</v>
      </c>
      <c r="K8" s="4">
        <v>12</v>
      </c>
      <c r="L8" s="4" t="s">
        <v>112</v>
      </c>
      <c r="M8" s="4">
        <v>3</v>
      </c>
      <c r="N8" s="4" t="s">
        <v>73</v>
      </c>
      <c r="O8" s="4">
        <v>2</v>
      </c>
      <c r="P8" s="4" t="s">
        <v>74</v>
      </c>
      <c r="Q8" s="4">
        <f t="shared" si="0"/>
        <v>12</v>
      </c>
      <c r="S8" s="16" t="s">
        <v>116</v>
      </c>
    </row>
    <row r="9" spans="1:20" ht="84">
      <c r="A9" s="4">
        <v>8</v>
      </c>
      <c r="B9" s="8" t="s">
        <v>26</v>
      </c>
      <c r="C9" s="8" t="s">
        <v>56</v>
      </c>
      <c r="D9" s="8" t="s">
        <v>96</v>
      </c>
      <c r="E9" s="8" t="s">
        <v>152</v>
      </c>
      <c r="F9" s="8" t="s">
        <v>197</v>
      </c>
      <c r="G9" s="1">
        <v>5</v>
      </c>
      <c r="H9" s="25" t="s">
        <v>71</v>
      </c>
      <c r="I9" s="25">
        <v>2</v>
      </c>
      <c r="J9" s="25" t="s">
        <v>77</v>
      </c>
      <c r="K9" s="4">
        <v>10</v>
      </c>
      <c r="L9" s="4" t="s">
        <v>111</v>
      </c>
      <c r="M9" s="4">
        <v>2</v>
      </c>
      <c r="N9" s="4" t="s">
        <v>74</v>
      </c>
      <c r="O9" s="4">
        <v>3</v>
      </c>
      <c r="P9" s="4" t="s">
        <v>73</v>
      </c>
      <c r="Q9" s="4">
        <f t="shared" si="0"/>
        <v>10</v>
      </c>
      <c r="R9" s="16">
        <v>1</v>
      </c>
      <c r="S9" s="16" t="s">
        <v>110</v>
      </c>
      <c r="T9" s="40" t="s">
        <v>72</v>
      </c>
    </row>
    <row r="10" spans="1:20" ht="70">
      <c r="A10" s="4">
        <v>9</v>
      </c>
      <c r="B10" s="8" t="s">
        <v>26</v>
      </c>
      <c r="C10" s="8" t="s">
        <v>55</v>
      </c>
      <c r="D10" s="8" t="s">
        <v>55</v>
      </c>
      <c r="E10" s="8" t="s">
        <v>153</v>
      </c>
      <c r="F10" s="8" t="s">
        <v>198</v>
      </c>
      <c r="G10" s="1">
        <v>5</v>
      </c>
      <c r="H10" s="25" t="s">
        <v>71</v>
      </c>
      <c r="I10" s="25">
        <v>3</v>
      </c>
      <c r="J10" s="25" t="s">
        <v>75</v>
      </c>
      <c r="K10" s="4">
        <v>15</v>
      </c>
      <c r="L10" s="4" t="s">
        <v>112</v>
      </c>
      <c r="M10" s="4">
        <v>3</v>
      </c>
      <c r="N10" s="4" t="s">
        <v>73</v>
      </c>
      <c r="O10" s="4">
        <v>2</v>
      </c>
      <c r="P10" s="4" t="s">
        <v>74</v>
      </c>
      <c r="Q10" s="4">
        <f t="shared" si="0"/>
        <v>15</v>
      </c>
      <c r="R10" s="16">
        <v>2</v>
      </c>
      <c r="S10" s="16" t="s">
        <v>111</v>
      </c>
      <c r="T10" s="40" t="s">
        <v>74</v>
      </c>
    </row>
    <row r="11" spans="1:20" ht="42">
      <c r="A11" s="4">
        <v>10</v>
      </c>
      <c r="B11" s="8" t="s">
        <v>26</v>
      </c>
      <c r="C11" s="8" t="s">
        <v>54</v>
      </c>
      <c r="D11" s="8" t="s">
        <v>54</v>
      </c>
      <c r="E11" s="8" t="s">
        <v>154</v>
      </c>
      <c r="F11" s="8" t="s">
        <v>199</v>
      </c>
      <c r="G11" s="1">
        <v>4</v>
      </c>
      <c r="H11" s="25" t="s">
        <v>70</v>
      </c>
      <c r="I11" s="25">
        <v>3</v>
      </c>
      <c r="J11" s="25" t="s">
        <v>75</v>
      </c>
      <c r="K11" s="4">
        <v>12</v>
      </c>
      <c r="L11" s="4" t="s">
        <v>112</v>
      </c>
      <c r="M11" s="4">
        <v>3</v>
      </c>
      <c r="N11" s="4" t="s">
        <v>73</v>
      </c>
      <c r="O11" s="4">
        <v>3</v>
      </c>
      <c r="P11" s="4" t="s">
        <v>73</v>
      </c>
      <c r="Q11" s="4">
        <f t="shared" si="0"/>
        <v>12</v>
      </c>
      <c r="R11" s="16">
        <v>3</v>
      </c>
      <c r="S11" s="16" t="s">
        <v>112</v>
      </c>
      <c r="T11" s="40" t="s">
        <v>73</v>
      </c>
    </row>
    <row r="12" spans="1:20" ht="140">
      <c r="A12" s="4">
        <v>11</v>
      </c>
      <c r="B12" s="8" t="s">
        <v>26</v>
      </c>
      <c r="C12" s="8" t="s">
        <v>53</v>
      </c>
      <c r="D12" s="8" t="s">
        <v>53</v>
      </c>
      <c r="E12" s="8" t="s">
        <v>155</v>
      </c>
      <c r="F12" s="8" t="s">
        <v>200</v>
      </c>
      <c r="G12" s="1">
        <v>4</v>
      </c>
      <c r="H12" s="25" t="s">
        <v>70</v>
      </c>
      <c r="I12" s="25">
        <v>3</v>
      </c>
      <c r="J12" s="25" t="s">
        <v>75</v>
      </c>
      <c r="K12" s="4">
        <v>12</v>
      </c>
      <c r="L12" s="4" t="s">
        <v>112</v>
      </c>
      <c r="M12" s="4">
        <v>3</v>
      </c>
      <c r="N12" s="4" t="s">
        <v>73</v>
      </c>
      <c r="O12" s="4">
        <v>2</v>
      </c>
      <c r="P12" s="4" t="s">
        <v>74</v>
      </c>
      <c r="Q12" s="4">
        <f t="shared" si="0"/>
        <v>12</v>
      </c>
      <c r="R12" s="16">
        <v>4</v>
      </c>
      <c r="S12" s="16" t="s">
        <v>113</v>
      </c>
      <c r="T12" s="40" t="s">
        <v>70</v>
      </c>
    </row>
    <row r="13" spans="1:20" ht="42">
      <c r="A13" s="4">
        <v>12</v>
      </c>
      <c r="B13" s="22" t="s">
        <v>26</v>
      </c>
      <c r="C13" s="22" t="s">
        <v>52</v>
      </c>
      <c r="D13" s="8" t="s">
        <v>52</v>
      </c>
      <c r="E13" s="8" t="s">
        <v>156</v>
      </c>
      <c r="F13" s="8"/>
      <c r="G13" s="9">
        <v>4</v>
      </c>
      <c r="H13" s="25" t="s">
        <v>70</v>
      </c>
      <c r="I13" s="26">
        <v>2</v>
      </c>
      <c r="J13" s="25" t="s">
        <v>77</v>
      </c>
      <c r="K13" s="4">
        <v>8</v>
      </c>
      <c r="L13" s="4" t="s">
        <v>111</v>
      </c>
      <c r="M13" s="4">
        <v>2</v>
      </c>
      <c r="N13" s="4" t="s">
        <v>74</v>
      </c>
      <c r="O13" s="4">
        <v>3</v>
      </c>
      <c r="P13" s="4" t="s">
        <v>73</v>
      </c>
      <c r="Q13" s="4">
        <f t="shared" si="0"/>
        <v>8</v>
      </c>
      <c r="R13" s="16">
        <v>5</v>
      </c>
      <c r="S13" s="16" t="s">
        <v>117</v>
      </c>
      <c r="T13" s="40" t="s">
        <v>71</v>
      </c>
    </row>
    <row r="14" spans="1:20" ht="84">
      <c r="A14" s="4">
        <v>13</v>
      </c>
      <c r="B14" s="8" t="s">
        <v>26</v>
      </c>
      <c r="C14" s="8" t="s">
        <v>51</v>
      </c>
      <c r="D14" s="8" t="s">
        <v>51</v>
      </c>
      <c r="E14" s="8" t="s">
        <v>157</v>
      </c>
      <c r="F14" s="8" t="s">
        <v>201</v>
      </c>
      <c r="G14" s="1">
        <v>4</v>
      </c>
      <c r="H14" s="25" t="s">
        <v>70</v>
      </c>
      <c r="I14" s="25">
        <v>2</v>
      </c>
      <c r="J14" s="25" t="s">
        <v>77</v>
      </c>
      <c r="K14" s="4">
        <v>8</v>
      </c>
      <c r="L14" s="4" t="s">
        <v>111</v>
      </c>
      <c r="M14" s="4">
        <v>2</v>
      </c>
      <c r="N14" s="4" t="s">
        <v>74</v>
      </c>
      <c r="O14" s="4">
        <v>5</v>
      </c>
      <c r="P14" s="4" t="s">
        <v>85</v>
      </c>
      <c r="Q14" s="4">
        <f t="shared" si="0"/>
        <v>8</v>
      </c>
    </row>
    <row r="15" spans="1:20" ht="84">
      <c r="A15" s="4">
        <v>14</v>
      </c>
      <c r="B15" s="8" t="s">
        <v>26</v>
      </c>
      <c r="C15" s="8" t="s">
        <v>50</v>
      </c>
      <c r="D15" s="8" t="s">
        <v>50</v>
      </c>
      <c r="E15" s="8" t="s">
        <v>158</v>
      </c>
      <c r="F15" s="8" t="s">
        <v>202</v>
      </c>
      <c r="G15" s="1">
        <v>4</v>
      </c>
      <c r="H15" s="25" t="s">
        <v>70</v>
      </c>
      <c r="I15" s="25">
        <v>2</v>
      </c>
      <c r="J15" s="25" t="s">
        <v>77</v>
      </c>
      <c r="K15" s="4">
        <v>8</v>
      </c>
      <c r="L15" s="4" t="s">
        <v>111</v>
      </c>
      <c r="M15" s="4">
        <v>2</v>
      </c>
      <c r="N15" s="4" t="s">
        <v>74</v>
      </c>
      <c r="O15" s="4">
        <v>4</v>
      </c>
      <c r="P15" s="4" t="s">
        <v>84</v>
      </c>
      <c r="Q15" s="4">
        <f t="shared" si="0"/>
        <v>8</v>
      </c>
    </row>
    <row r="16" spans="1:20" ht="84">
      <c r="A16" s="4">
        <v>15</v>
      </c>
      <c r="B16" s="8" t="s">
        <v>26</v>
      </c>
      <c r="C16" s="8" t="s">
        <v>49</v>
      </c>
      <c r="D16" s="8" t="s">
        <v>49</v>
      </c>
      <c r="E16" s="8" t="s">
        <v>159</v>
      </c>
      <c r="F16" s="8" t="s">
        <v>203</v>
      </c>
      <c r="G16" s="1">
        <v>4</v>
      </c>
      <c r="H16" s="25" t="s">
        <v>70</v>
      </c>
      <c r="I16" s="25">
        <v>4</v>
      </c>
      <c r="J16" s="25" t="s">
        <v>78</v>
      </c>
      <c r="K16" s="4">
        <v>16</v>
      </c>
      <c r="L16" s="4" t="s">
        <v>113</v>
      </c>
      <c r="M16" s="4">
        <v>4</v>
      </c>
      <c r="N16" s="4" t="s">
        <v>70</v>
      </c>
      <c r="O16" s="4">
        <v>3</v>
      </c>
      <c r="P16" s="4" t="s">
        <v>73</v>
      </c>
      <c r="Q16" s="4">
        <f t="shared" si="0"/>
        <v>16</v>
      </c>
    </row>
    <row r="17" spans="1:20" ht="112">
      <c r="A17" s="4">
        <v>16</v>
      </c>
      <c r="B17" s="8" t="s">
        <v>26</v>
      </c>
      <c r="C17" s="8" t="s">
        <v>48</v>
      </c>
      <c r="D17" s="8" t="s">
        <v>92</v>
      </c>
      <c r="E17" s="8" t="s">
        <v>160</v>
      </c>
      <c r="F17" s="8" t="s">
        <v>204</v>
      </c>
      <c r="G17" s="1">
        <v>5</v>
      </c>
      <c r="H17" s="25" t="s">
        <v>71</v>
      </c>
      <c r="I17" s="25">
        <v>2</v>
      </c>
      <c r="J17" s="25" t="s">
        <v>77</v>
      </c>
      <c r="K17" s="4">
        <v>10</v>
      </c>
      <c r="L17" s="4" t="s">
        <v>111</v>
      </c>
      <c r="M17" s="4">
        <v>2</v>
      </c>
      <c r="N17" s="4" t="s">
        <v>74</v>
      </c>
      <c r="O17" s="4">
        <v>5</v>
      </c>
      <c r="P17" s="4" t="s">
        <v>85</v>
      </c>
      <c r="Q17" s="4">
        <f t="shared" si="0"/>
        <v>10</v>
      </c>
    </row>
    <row r="18" spans="1:20" ht="84">
      <c r="A18" s="4">
        <v>17</v>
      </c>
      <c r="B18" s="8" t="s">
        <v>26</v>
      </c>
      <c r="C18" s="8" t="s">
        <v>47</v>
      </c>
      <c r="D18" s="8" t="s">
        <v>108</v>
      </c>
      <c r="E18" s="8" t="s">
        <v>161</v>
      </c>
      <c r="F18" s="8" t="s">
        <v>205</v>
      </c>
      <c r="G18" s="1">
        <v>4</v>
      </c>
      <c r="H18" s="25" t="s">
        <v>70</v>
      </c>
      <c r="I18" s="25">
        <v>5</v>
      </c>
      <c r="J18" s="25" t="s">
        <v>79</v>
      </c>
      <c r="K18" s="4">
        <v>20</v>
      </c>
      <c r="L18" s="4" t="s">
        <v>113</v>
      </c>
      <c r="M18" s="4">
        <v>4</v>
      </c>
      <c r="N18" s="4" t="s">
        <v>70</v>
      </c>
      <c r="O18" s="4">
        <v>3</v>
      </c>
      <c r="P18" s="4" t="s">
        <v>73</v>
      </c>
      <c r="Q18" s="4">
        <f t="shared" si="0"/>
        <v>20</v>
      </c>
    </row>
    <row r="19" spans="1:20" ht="70">
      <c r="A19" s="4">
        <v>18</v>
      </c>
      <c r="B19" s="8" t="s">
        <v>46</v>
      </c>
      <c r="C19" s="8" t="s">
        <v>45</v>
      </c>
      <c r="D19" s="8" t="s">
        <v>107</v>
      </c>
      <c r="E19" s="8" t="s">
        <v>162</v>
      </c>
      <c r="F19" s="8" t="s">
        <v>206</v>
      </c>
      <c r="G19" s="1">
        <v>1</v>
      </c>
      <c r="H19" s="25" t="s">
        <v>72</v>
      </c>
      <c r="I19" s="25">
        <v>1</v>
      </c>
      <c r="J19" s="25" t="s">
        <v>76</v>
      </c>
      <c r="K19" s="4">
        <v>1</v>
      </c>
      <c r="L19" s="4" t="s">
        <v>110</v>
      </c>
      <c r="M19" s="4">
        <v>1</v>
      </c>
      <c r="N19" s="4" t="s">
        <v>72</v>
      </c>
      <c r="O19" s="4">
        <v>1</v>
      </c>
      <c r="P19" s="4" t="s">
        <v>72</v>
      </c>
      <c r="Q19" s="4">
        <f t="shared" si="0"/>
        <v>1</v>
      </c>
    </row>
    <row r="20" spans="1:20" ht="56">
      <c r="A20" s="4">
        <v>19</v>
      </c>
      <c r="B20" s="8" t="s">
        <v>26</v>
      </c>
      <c r="C20" s="8" t="s">
        <v>44</v>
      </c>
      <c r="D20" s="8" t="s">
        <v>44</v>
      </c>
      <c r="E20" s="8" t="s">
        <v>163</v>
      </c>
      <c r="F20" s="8" t="s">
        <v>207</v>
      </c>
      <c r="G20" s="1">
        <v>4</v>
      </c>
      <c r="H20" s="25" t="s">
        <v>70</v>
      </c>
      <c r="I20" s="25">
        <v>1</v>
      </c>
      <c r="J20" s="25" t="s">
        <v>76</v>
      </c>
      <c r="K20" s="4">
        <v>4</v>
      </c>
      <c r="L20" s="4" t="s">
        <v>110</v>
      </c>
      <c r="M20" s="4">
        <v>1</v>
      </c>
      <c r="N20" s="4" t="s">
        <v>72</v>
      </c>
      <c r="O20" s="4">
        <v>4</v>
      </c>
      <c r="P20" s="4" t="s">
        <v>84</v>
      </c>
      <c r="Q20" s="4">
        <f t="shared" si="0"/>
        <v>4</v>
      </c>
    </row>
    <row r="21" spans="1:20" ht="42">
      <c r="A21" s="4">
        <v>20</v>
      </c>
      <c r="B21" s="8" t="s">
        <v>1</v>
      </c>
      <c r="C21" s="8" t="s">
        <v>43</v>
      </c>
      <c r="D21" s="8" t="s">
        <v>93</v>
      </c>
      <c r="E21" s="8" t="s">
        <v>164</v>
      </c>
      <c r="F21" s="8" t="s">
        <v>208</v>
      </c>
      <c r="G21" s="1">
        <v>3</v>
      </c>
      <c r="H21" s="25" t="s">
        <v>73</v>
      </c>
      <c r="I21" s="25">
        <v>3</v>
      </c>
      <c r="J21" s="25" t="s">
        <v>75</v>
      </c>
      <c r="K21" s="4">
        <v>9</v>
      </c>
      <c r="L21" s="4" t="s">
        <v>111</v>
      </c>
      <c r="M21" s="4">
        <v>2</v>
      </c>
      <c r="N21" s="4" t="s">
        <v>74</v>
      </c>
      <c r="O21" s="4">
        <v>4</v>
      </c>
      <c r="P21" s="4" t="s">
        <v>84</v>
      </c>
      <c r="Q21" s="4">
        <f t="shared" si="0"/>
        <v>9</v>
      </c>
    </row>
    <row r="22" spans="1:20" ht="98">
      <c r="A22" s="4">
        <v>21</v>
      </c>
      <c r="B22" s="8" t="s">
        <v>1</v>
      </c>
      <c r="C22" s="8" t="s">
        <v>42</v>
      </c>
      <c r="D22" s="8" t="s">
        <v>97</v>
      </c>
      <c r="E22" s="8" t="s">
        <v>165</v>
      </c>
      <c r="F22" s="8" t="s">
        <v>209</v>
      </c>
      <c r="G22" s="1">
        <v>3</v>
      </c>
      <c r="H22" s="25" t="s">
        <v>73</v>
      </c>
      <c r="I22" s="25">
        <v>3</v>
      </c>
      <c r="J22" s="25" t="s">
        <v>75</v>
      </c>
      <c r="K22" s="4">
        <v>9</v>
      </c>
      <c r="L22" s="4" t="s">
        <v>111</v>
      </c>
      <c r="M22" s="4">
        <v>2</v>
      </c>
      <c r="N22" s="4" t="s">
        <v>74</v>
      </c>
      <c r="O22" s="4">
        <v>3</v>
      </c>
      <c r="P22" s="4" t="s">
        <v>73</v>
      </c>
      <c r="Q22" s="4">
        <f t="shared" si="0"/>
        <v>9</v>
      </c>
    </row>
    <row r="23" spans="1:20" ht="70">
      <c r="A23" s="4">
        <v>22</v>
      </c>
      <c r="B23" s="8" t="s">
        <v>1</v>
      </c>
      <c r="C23" s="8" t="s">
        <v>41</v>
      </c>
      <c r="D23" s="8" t="s">
        <v>94</v>
      </c>
      <c r="E23" s="8" t="s">
        <v>166</v>
      </c>
      <c r="F23" s="8" t="s">
        <v>210</v>
      </c>
      <c r="G23" s="1">
        <v>4</v>
      </c>
      <c r="H23" s="25" t="s">
        <v>70</v>
      </c>
      <c r="I23" s="25">
        <v>2</v>
      </c>
      <c r="J23" s="25" t="s">
        <v>77</v>
      </c>
      <c r="K23" s="4">
        <v>8</v>
      </c>
      <c r="L23" s="4" t="s">
        <v>111</v>
      </c>
      <c r="M23" s="4">
        <v>2</v>
      </c>
      <c r="N23" s="4" t="s">
        <v>74</v>
      </c>
      <c r="O23" s="4">
        <v>4</v>
      </c>
      <c r="P23" s="4" t="s">
        <v>84</v>
      </c>
      <c r="Q23" s="4">
        <f t="shared" si="0"/>
        <v>8</v>
      </c>
    </row>
    <row r="24" spans="1:20" ht="28">
      <c r="A24" s="4">
        <v>23</v>
      </c>
      <c r="B24" s="8" t="s">
        <v>1</v>
      </c>
      <c r="C24" s="8" t="s">
        <v>40</v>
      </c>
      <c r="D24" s="8" t="s">
        <v>106</v>
      </c>
      <c r="E24" s="8" t="s">
        <v>167</v>
      </c>
      <c r="F24" s="8" t="s">
        <v>211</v>
      </c>
      <c r="G24" s="1">
        <v>3</v>
      </c>
      <c r="H24" s="25" t="s">
        <v>73</v>
      </c>
      <c r="I24" s="25">
        <v>3</v>
      </c>
      <c r="J24" s="25" t="s">
        <v>75</v>
      </c>
      <c r="K24" s="4">
        <v>9</v>
      </c>
      <c r="L24" s="4" t="s">
        <v>111</v>
      </c>
      <c r="M24" s="4">
        <v>2</v>
      </c>
      <c r="N24" s="4" t="s">
        <v>74</v>
      </c>
      <c r="O24" s="4">
        <v>3</v>
      </c>
      <c r="P24" s="4" t="s">
        <v>73</v>
      </c>
      <c r="Q24" s="4">
        <f t="shared" si="0"/>
        <v>9</v>
      </c>
    </row>
    <row r="25" spans="1:20" ht="56">
      <c r="A25" s="4">
        <v>24</v>
      </c>
      <c r="B25" s="8" t="s">
        <v>39</v>
      </c>
      <c r="C25" s="8" t="s">
        <v>38</v>
      </c>
      <c r="D25" s="8" t="s">
        <v>38</v>
      </c>
      <c r="E25" s="8" t="s">
        <v>168</v>
      </c>
      <c r="F25" s="8"/>
      <c r="G25" s="1">
        <v>2</v>
      </c>
      <c r="H25" s="25" t="s">
        <v>74</v>
      </c>
      <c r="I25" s="25">
        <v>2</v>
      </c>
      <c r="J25" s="25" t="s">
        <v>77</v>
      </c>
      <c r="K25" s="4">
        <v>4</v>
      </c>
      <c r="L25" s="4" t="s">
        <v>110</v>
      </c>
      <c r="M25" s="4">
        <v>1</v>
      </c>
      <c r="N25" s="4" t="s">
        <v>72</v>
      </c>
      <c r="O25" s="4">
        <v>3</v>
      </c>
      <c r="P25" s="4" t="s">
        <v>73</v>
      </c>
      <c r="Q25" s="4">
        <f t="shared" si="0"/>
        <v>4</v>
      </c>
    </row>
    <row r="26" spans="1:20" ht="42">
      <c r="A26" s="4">
        <v>25</v>
      </c>
      <c r="B26" s="8" t="s">
        <v>36</v>
      </c>
      <c r="C26" s="8" t="s">
        <v>37</v>
      </c>
      <c r="D26" s="8" t="s">
        <v>37</v>
      </c>
      <c r="E26" s="8" t="s">
        <v>169</v>
      </c>
      <c r="F26" s="8"/>
      <c r="G26" s="1">
        <v>3</v>
      </c>
      <c r="H26" s="25" t="s">
        <v>73</v>
      </c>
      <c r="I26" s="25">
        <v>3</v>
      </c>
      <c r="J26" s="25" t="s">
        <v>75</v>
      </c>
      <c r="K26" s="4">
        <v>9</v>
      </c>
      <c r="L26" s="4" t="s">
        <v>111</v>
      </c>
      <c r="M26" s="4">
        <v>2</v>
      </c>
      <c r="N26" s="4" t="s">
        <v>74</v>
      </c>
      <c r="O26" s="4">
        <v>4</v>
      </c>
      <c r="P26" s="4" t="s">
        <v>84</v>
      </c>
      <c r="Q26" s="4">
        <f t="shared" si="0"/>
        <v>9</v>
      </c>
    </row>
    <row r="27" spans="1:20" ht="28">
      <c r="A27" s="4">
        <v>26</v>
      </c>
      <c r="B27" s="8" t="s">
        <v>36</v>
      </c>
      <c r="C27" s="8" t="s">
        <v>35</v>
      </c>
      <c r="D27" s="8" t="s">
        <v>35</v>
      </c>
      <c r="E27" s="8" t="s">
        <v>170</v>
      </c>
      <c r="F27" s="8" t="s">
        <v>212</v>
      </c>
      <c r="G27" s="1">
        <v>3</v>
      </c>
      <c r="H27" s="25" t="s">
        <v>73</v>
      </c>
      <c r="I27" s="25">
        <v>2</v>
      </c>
      <c r="J27" s="25" t="s">
        <v>77</v>
      </c>
      <c r="K27" s="4">
        <v>6</v>
      </c>
      <c r="L27" s="4" t="s">
        <v>111</v>
      </c>
      <c r="M27" s="4">
        <v>2</v>
      </c>
      <c r="N27" s="4" t="s">
        <v>74</v>
      </c>
      <c r="O27" s="4">
        <v>4</v>
      </c>
      <c r="P27" s="4" t="s">
        <v>84</v>
      </c>
      <c r="Q27" s="4">
        <f t="shared" si="0"/>
        <v>6</v>
      </c>
    </row>
    <row r="28" spans="1:20" ht="56">
      <c r="A28" s="4">
        <v>27</v>
      </c>
      <c r="B28" s="8" t="s">
        <v>32</v>
      </c>
      <c r="C28" s="8" t="s">
        <v>34</v>
      </c>
      <c r="D28" s="8" t="s">
        <v>34</v>
      </c>
      <c r="E28" s="8" t="s">
        <v>171</v>
      </c>
      <c r="F28" s="8" t="s">
        <v>213</v>
      </c>
      <c r="G28" s="1">
        <v>1</v>
      </c>
      <c r="H28" s="25" t="s">
        <v>72</v>
      </c>
      <c r="I28" s="25">
        <v>1</v>
      </c>
      <c r="J28" s="25" t="s">
        <v>76</v>
      </c>
      <c r="K28" s="4">
        <v>1</v>
      </c>
      <c r="L28" s="4" t="s">
        <v>110</v>
      </c>
      <c r="M28" s="4">
        <v>1</v>
      </c>
      <c r="N28" s="4" t="s">
        <v>72</v>
      </c>
      <c r="O28" s="4">
        <v>1</v>
      </c>
      <c r="P28" s="4" t="s">
        <v>72</v>
      </c>
      <c r="Q28" s="4">
        <f t="shared" si="0"/>
        <v>1</v>
      </c>
    </row>
    <row r="29" spans="1:20" ht="112">
      <c r="A29" s="4">
        <v>28</v>
      </c>
      <c r="B29" s="8" t="s">
        <v>32</v>
      </c>
      <c r="C29" s="8" t="s">
        <v>33</v>
      </c>
      <c r="D29" s="8" t="s">
        <v>33</v>
      </c>
      <c r="E29" s="8" t="s">
        <v>172</v>
      </c>
      <c r="F29" s="8" t="s">
        <v>214</v>
      </c>
      <c r="G29" s="1">
        <v>4</v>
      </c>
      <c r="H29" s="25" t="s">
        <v>70</v>
      </c>
      <c r="I29" s="25">
        <v>2</v>
      </c>
      <c r="J29" s="25" t="s">
        <v>77</v>
      </c>
      <c r="K29" s="4">
        <v>8</v>
      </c>
      <c r="L29" s="4" t="s">
        <v>111</v>
      </c>
      <c r="M29" s="4">
        <v>2</v>
      </c>
      <c r="N29" s="4" t="s">
        <v>74</v>
      </c>
      <c r="O29" s="4">
        <v>4</v>
      </c>
      <c r="P29" s="4" t="s">
        <v>84</v>
      </c>
      <c r="Q29" s="4">
        <f t="shared" si="0"/>
        <v>8</v>
      </c>
    </row>
    <row r="30" spans="1:20" ht="56">
      <c r="A30" s="4">
        <v>29</v>
      </c>
      <c r="B30" s="35" t="s">
        <v>32</v>
      </c>
      <c r="C30" s="35" t="s">
        <v>31</v>
      </c>
      <c r="D30" s="8" t="s">
        <v>31</v>
      </c>
      <c r="E30" s="35" t="s">
        <v>173</v>
      </c>
      <c r="F30" s="35"/>
      <c r="G30" s="21">
        <v>3</v>
      </c>
      <c r="H30" s="25" t="s">
        <v>73</v>
      </c>
      <c r="I30" s="27">
        <v>2</v>
      </c>
      <c r="J30" s="25" t="s">
        <v>77</v>
      </c>
      <c r="K30" s="4">
        <v>6</v>
      </c>
      <c r="L30" s="4" t="s">
        <v>111</v>
      </c>
      <c r="M30" s="4">
        <v>2</v>
      </c>
      <c r="N30" s="4" t="s">
        <v>74</v>
      </c>
      <c r="O30" s="4">
        <v>3</v>
      </c>
      <c r="P30" s="4" t="s">
        <v>73</v>
      </c>
      <c r="Q30" s="4">
        <f t="shared" si="0"/>
        <v>6</v>
      </c>
    </row>
    <row r="31" spans="1:20" s="15" customFormat="1" ht="56">
      <c r="A31" s="4">
        <v>30</v>
      </c>
      <c r="B31" s="20" t="s">
        <v>28</v>
      </c>
      <c r="C31" s="20" t="s">
        <v>30</v>
      </c>
      <c r="D31" s="8" t="s">
        <v>30</v>
      </c>
      <c r="E31" s="46" t="s">
        <v>174</v>
      </c>
      <c r="F31" s="46" t="s">
        <v>215</v>
      </c>
      <c r="G31" s="19">
        <v>1</v>
      </c>
      <c r="H31" s="25" t="s">
        <v>72</v>
      </c>
      <c r="I31" s="28">
        <v>1</v>
      </c>
      <c r="J31" s="25" t="s">
        <v>76</v>
      </c>
      <c r="K31" s="4">
        <v>1</v>
      </c>
      <c r="L31" s="4" t="s">
        <v>110</v>
      </c>
      <c r="M31" s="4">
        <v>1</v>
      </c>
      <c r="N31" s="4" t="s">
        <v>72</v>
      </c>
      <c r="O31" s="4">
        <v>1</v>
      </c>
      <c r="P31" s="4" t="s">
        <v>72</v>
      </c>
      <c r="Q31" s="4">
        <f t="shared" si="0"/>
        <v>1</v>
      </c>
      <c r="R31" s="16"/>
      <c r="S31" s="16"/>
      <c r="T31" s="16"/>
    </row>
    <row r="32" spans="1:20" s="15" customFormat="1" ht="56">
      <c r="A32" s="4">
        <v>31</v>
      </c>
      <c r="B32" s="20" t="s">
        <v>28</v>
      </c>
      <c r="C32" s="20" t="s">
        <v>29</v>
      </c>
      <c r="D32" s="8" t="s">
        <v>29</v>
      </c>
      <c r="E32" s="46" t="s">
        <v>175</v>
      </c>
      <c r="F32" s="46" t="s">
        <v>215</v>
      </c>
      <c r="G32" s="19">
        <v>1</v>
      </c>
      <c r="H32" s="25" t="s">
        <v>72</v>
      </c>
      <c r="I32" s="28">
        <v>1</v>
      </c>
      <c r="J32" s="25" t="s">
        <v>76</v>
      </c>
      <c r="K32" s="4">
        <v>1</v>
      </c>
      <c r="L32" s="4" t="s">
        <v>110</v>
      </c>
      <c r="M32" s="4">
        <v>1</v>
      </c>
      <c r="N32" s="4" t="s">
        <v>72</v>
      </c>
      <c r="O32" s="4">
        <v>1</v>
      </c>
      <c r="P32" s="4" t="s">
        <v>72</v>
      </c>
      <c r="Q32" s="4">
        <f t="shared" si="0"/>
        <v>1</v>
      </c>
      <c r="R32" s="16"/>
      <c r="S32" s="16"/>
      <c r="T32" s="16"/>
    </row>
    <row r="33" spans="1:20" s="15" customFormat="1" ht="56">
      <c r="A33" s="4">
        <v>32</v>
      </c>
      <c r="B33" s="20" t="s">
        <v>28</v>
      </c>
      <c r="C33" s="20" t="s">
        <v>27</v>
      </c>
      <c r="D33" s="8" t="s">
        <v>27</v>
      </c>
      <c r="E33" s="46" t="s">
        <v>176</v>
      </c>
      <c r="F33" s="46" t="s">
        <v>215</v>
      </c>
      <c r="G33" s="19">
        <v>1</v>
      </c>
      <c r="H33" s="25" t="s">
        <v>72</v>
      </c>
      <c r="I33" s="28">
        <v>1</v>
      </c>
      <c r="J33" s="25" t="s">
        <v>76</v>
      </c>
      <c r="K33" s="4">
        <v>1</v>
      </c>
      <c r="L33" s="4" t="s">
        <v>110</v>
      </c>
      <c r="M33" s="4">
        <v>1</v>
      </c>
      <c r="N33" s="4" t="s">
        <v>72</v>
      </c>
      <c r="O33" s="4">
        <v>1</v>
      </c>
      <c r="P33" s="4" t="s">
        <v>72</v>
      </c>
      <c r="Q33" s="4">
        <f t="shared" si="0"/>
        <v>1</v>
      </c>
      <c r="R33" s="16"/>
      <c r="S33" s="16"/>
      <c r="T33" s="16"/>
    </row>
    <row r="34" spans="1:20" s="17" customFormat="1" ht="56">
      <c r="A34" s="4">
        <v>33</v>
      </c>
      <c r="B34" s="18" t="s">
        <v>26</v>
      </c>
      <c r="C34" s="18" t="s">
        <v>25</v>
      </c>
      <c r="D34" s="8" t="s">
        <v>25</v>
      </c>
      <c r="E34" s="46" t="s">
        <v>177</v>
      </c>
      <c r="F34" s="46" t="s">
        <v>216</v>
      </c>
      <c r="G34" s="13">
        <v>4</v>
      </c>
      <c r="H34" s="25" t="s">
        <v>70</v>
      </c>
      <c r="I34" s="29">
        <v>4</v>
      </c>
      <c r="J34" s="25" t="s">
        <v>78</v>
      </c>
      <c r="K34" s="4">
        <v>16</v>
      </c>
      <c r="L34" s="4" t="s">
        <v>113</v>
      </c>
      <c r="M34" s="4">
        <v>4</v>
      </c>
      <c r="N34" s="4" t="s">
        <v>70</v>
      </c>
      <c r="O34" s="4">
        <v>4</v>
      </c>
      <c r="P34" s="4" t="s">
        <v>84</v>
      </c>
      <c r="Q34" s="4">
        <f t="shared" si="0"/>
        <v>16</v>
      </c>
      <c r="R34" s="16"/>
      <c r="S34" s="16"/>
      <c r="T34" s="16"/>
    </row>
    <row r="35" spans="1:20" ht="70">
      <c r="A35" s="4">
        <v>34</v>
      </c>
      <c r="B35" s="14" t="s">
        <v>24</v>
      </c>
      <c r="C35" s="14" t="s">
        <v>23</v>
      </c>
      <c r="D35" s="8" t="s">
        <v>90</v>
      </c>
      <c r="E35" s="46" t="s">
        <v>178</v>
      </c>
      <c r="F35" s="46" t="s">
        <v>217</v>
      </c>
      <c r="G35" s="13">
        <v>1</v>
      </c>
      <c r="H35" s="25" t="s">
        <v>72</v>
      </c>
      <c r="I35" s="29">
        <v>1</v>
      </c>
      <c r="J35" s="25" t="s">
        <v>76</v>
      </c>
      <c r="K35" s="4">
        <v>1</v>
      </c>
      <c r="L35" s="4" t="s">
        <v>110</v>
      </c>
      <c r="M35" s="4">
        <v>1</v>
      </c>
      <c r="N35" s="4" t="s">
        <v>72</v>
      </c>
      <c r="O35" s="4">
        <v>1</v>
      </c>
      <c r="P35" s="4" t="s">
        <v>72</v>
      </c>
      <c r="Q35" s="4">
        <f t="shared" si="0"/>
        <v>1</v>
      </c>
    </row>
    <row r="36" spans="1:20" ht="84">
      <c r="A36" s="4">
        <v>35</v>
      </c>
      <c r="B36" s="14" t="s">
        <v>9</v>
      </c>
      <c r="C36" s="14" t="s">
        <v>22</v>
      </c>
      <c r="D36" s="8" t="s">
        <v>22</v>
      </c>
      <c r="E36" s="46" t="s">
        <v>179</v>
      </c>
      <c r="F36" s="46" t="s">
        <v>218</v>
      </c>
      <c r="G36" s="13">
        <v>4</v>
      </c>
      <c r="H36" s="25" t="s">
        <v>70</v>
      </c>
      <c r="I36" s="29">
        <v>4</v>
      </c>
      <c r="J36" s="25" t="s">
        <v>78</v>
      </c>
      <c r="K36" s="4">
        <v>16</v>
      </c>
      <c r="L36" s="4" t="s">
        <v>113</v>
      </c>
      <c r="M36" s="4">
        <v>4</v>
      </c>
      <c r="N36" s="4" t="s">
        <v>70</v>
      </c>
      <c r="O36" s="4">
        <v>1</v>
      </c>
      <c r="P36" s="4" t="s">
        <v>72</v>
      </c>
      <c r="Q36" s="4">
        <f t="shared" si="0"/>
        <v>16</v>
      </c>
    </row>
    <row r="37" spans="1:20" s="16" customFormat="1" ht="98">
      <c r="A37" s="4">
        <v>36</v>
      </c>
      <c r="B37" s="34" t="s">
        <v>9</v>
      </c>
      <c r="C37" s="34" t="s">
        <v>21</v>
      </c>
      <c r="D37" s="8" t="s">
        <v>21</v>
      </c>
      <c r="E37" s="46" t="s">
        <v>180</v>
      </c>
      <c r="F37" s="46"/>
      <c r="G37" s="11">
        <v>1</v>
      </c>
      <c r="H37" s="25" t="s">
        <v>72</v>
      </c>
      <c r="I37" s="30">
        <v>1</v>
      </c>
      <c r="J37" s="25" t="s">
        <v>76</v>
      </c>
      <c r="K37" s="4">
        <v>1</v>
      </c>
      <c r="L37" s="4" t="s">
        <v>110</v>
      </c>
      <c r="M37" s="4">
        <v>1</v>
      </c>
      <c r="N37" s="4" t="s">
        <v>72</v>
      </c>
      <c r="O37" s="4">
        <v>1</v>
      </c>
      <c r="P37" s="4" t="s">
        <v>72</v>
      </c>
      <c r="Q37" s="4">
        <f t="shared" si="0"/>
        <v>1</v>
      </c>
    </row>
    <row r="38" spans="1:20" s="15" customFormat="1" ht="28">
      <c r="A38" s="4">
        <v>37</v>
      </c>
      <c r="B38" s="33" t="s">
        <v>20</v>
      </c>
      <c r="C38" s="33" t="s">
        <v>19</v>
      </c>
      <c r="D38" s="8" t="s">
        <v>19</v>
      </c>
      <c r="E38" s="46" t="s">
        <v>181</v>
      </c>
      <c r="F38" s="46"/>
      <c r="G38" s="36">
        <v>2</v>
      </c>
      <c r="H38" s="25" t="s">
        <v>74</v>
      </c>
      <c r="I38" s="37">
        <v>2</v>
      </c>
      <c r="J38" s="25" t="s">
        <v>77</v>
      </c>
      <c r="K38" s="4">
        <v>4</v>
      </c>
      <c r="L38" s="4" t="s">
        <v>110</v>
      </c>
      <c r="M38" s="4">
        <v>1</v>
      </c>
      <c r="N38" s="4" t="s">
        <v>72</v>
      </c>
      <c r="O38" s="4">
        <v>4</v>
      </c>
      <c r="P38" s="4" t="s">
        <v>84</v>
      </c>
      <c r="Q38" s="4">
        <f t="shared" si="0"/>
        <v>4</v>
      </c>
      <c r="R38" s="16"/>
      <c r="S38" s="16"/>
      <c r="T38" s="16"/>
    </row>
    <row r="39" spans="1:20" s="15" customFormat="1" ht="56">
      <c r="A39" s="4">
        <v>38</v>
      </c>
      <c r="B39" s="12" t="s">
        <v>13</v>
      </c>
      <c r="C39" s="12" t="s">
        <v>18</v>
      </c>
      <c r="D39" s="8" t="s">
        <v>18</v>
      </c>
      <c r="E39" s="46" t="s">
        <v>182</v>
      </c>
      <c r="F39" s="46" t="s">
        <v>219</v>
      </c>
      <c r="G39" s="11">
        <v>1</v>
      </c>
      <c r="H39" s="25" t="s">
        <v>72</v>
      </c>
      <c r="I39" s="30">
        <v>1</v>
      </c>
      <c r="J39" s="25" t="s">
        <v>76</v>
      </c>
      <c r="K39" s="4">
        <v>1</v>
      </c>
      <c r="L39" s="4" t="s">
        <v>110</v>
      </c>
      <c r="M39" s="4">
        <v>1</v>
      </c>
      <c r="N39" s="4" t="s">
        <v>72</v>
      </c>
      <c r="O39" s="4">
        <v>1</v>
      </c>
      <c r="P39" s="4" t="s">
        <v>72</v>
      </c>
      <c r="Q39" s="4">
        <f t="shared" si="0"/>
        <v>1</v>
      </c>
      <c r="R39" s="16"/>
      <c r="S39" s="16"/>
      <c r="T39" s="16"/>
    </row>
    <row r="40" spans="1:20" s="5" customFormat="1" ht="28">
      <c r="A40" s="4">
        <v>39</v>
      </c>
      <c r="B40" s="14" t="s">
        <v>13</v>
      </c>
      <c r="C40" s="14" t="s">
        <v>17</v>
      </c>
      <c r="D40" s="8" t="s">
        <v>17</v>
      </c>
      <c r="E40" s="46" t="s">
        <v>183</v>
      </c>
      <c r="F40" s="46"/>
      <c r="G40" s="13">
        <v>1</v>
      </c>
      <c r="H40" s="25" t="s">
        <v>72</v>
      </c>
      <c r="I40" s="29">
        <v>1</v>
      </c>
      <c r="J40" s="25" t="s">
        <v>76</v>
      </c>
      <c r="K40" s="4">
        <v>1</v>
      </c>
      <c r="L40" s="4" t="s">
        <v>110</v>
      </c>
      <c r="M40" s="4">
        <v>1</v>
      </c>
      <c r="N40" s="4" t="s">
        <v>72</v>
      </c>
      <c r="O40" s="4">
        <v>1</v>
      </c>
      <c r="P40" s="4" t="s">
        <v>72</v>
      </c>
      <c r="Q40" s="4">
        <f t="shared" si="0"/>
        <v>1</v>
      </c>
      <c r="R40" s="16"/>
      <c r="S40" s="16"/>
      <c r="T40" s="16"/>
    </row>
    <row r="41" spans="1:20" s="5" customFormat="1" ht="42">
      <c r="A41" s="4">
        <v>40</v>
      </c>
      <c r="B41" s="14" t="s">
        <v>16</v>
      </c>
      <c r="C41" s="14" t="s">
        <v>15</v>
      </c>
      <c r="D41" s="8" t="s">
        <v>98</v>
      </c>
      <c r="E41" s="46" t="s">
        <v>184</v>
      </c>
      <c r="F41" s="46" t="s">
        <v>220</v>
      </c>
      <c r="G41" s="13">
        <v>4</v>
      </c>
      <c r="H41" s="25" t="s">
        <v>70</v>
      </c>
      <c r="I41" s="29">
        <v>3</v>
      </c>
      <c r="J41" s="25" t="s">
        <v>75</v>
      </c>
      <c r="K41" s="4">
        <v>12</v>
      </c>
      <c r="L41" s="4" t="s">
        <v>112</v>
      </c>
      <c r="M41" s="4">
        <v>3</v>
      </c>
      <c r="N41" s="4" t="s">
        <v>73</v>
      </c>
      <c r="O41" s="4">
        <v>3</v>
      </c>
      <c r="P41" s="4" t="s">
        <v>73</v>
      </c>
      <c r="Q41" s="4">
        <f t="shared" si="0"/>
        <v>12</v>
      </c>
      <c r="R41" s="16"/>
      <c r="S41" s="16"/>
      <c r="T41" s="16"/>
    </row>
    <row r="42" spans="1:20" s="5" customFormat="1" ht="56">
      <c r="A42" s="4">
        <v>41</v>
      </c>
      <c r="B42" s="14" t="s">
        <v>13</v>
      </c>
      <c r="C42" s="14" t="s">
        <v>14</v>
      </c>
      <c r="D42" s="8" t="s">
        <v>14</v>
      </c>
      <c r="E42" s="46" t="s">
        <v>185</v>
      </c>
      <c r="F42" s="46" t="s">
        <v>221</v>
      </c>
      <c r="G42" s="13">
        <v>1</v>
      </c>
      <c r="H42" s="25" t="s">
        <v>72</v>
      </c>
      <c r="I42" s="29">
        <v>1</v>
      </c>
      <c r="J42" s="25" t="s">
        <v>76</v>
      </c>
      <c r="K42" s="4">
        <v>1</v>
      </c>
      <c r="L42" s="4" t="s">
        <v>110</v>
      </c>
      <c r="M42" s="4">
        <v>1</v>
      </c>
      <c r="N42" s="4" t="s">
        <v>72</v>
      </c>
      <c r="O42" s="4">
        <v>1</v>
      </c>
      <c r="P42" s="4" t="s">
        <v>72</v>
      </c>
      <c r="Q42" s="4">
        <f t="shared" si="0"/>
        <v>1</v>
      </c>
      <c r="R42" s="16"/>
      <c r="S42" s="16"/>
      <c r="T42" s="16"/>
    </row>
    <row r="43" spans="1:20" s="5" customFormat="1" ht="28">
      <c r="A43" s="4">
        <v>42</v>
      </c>
      <c r="B43" s="14" t="s">
        <v>13</v>
      </c>
      <c r="C43" s="14" t="s">
        <v>12</v>
      </c>
      <c r="D43" s="8" t="s">
        <v>12</v>
      </c>
      <c r="E43" s="46" t="s">
        <v>186</v>
      </c>
      <c r="F43" s="46"/>
      <c r="G43" s="13">
        <v>1</v>
      </c>
      <c r="H43" s="25" t="s">
        <v>72</v>
      </c>
      <c r="I43" s="29">
        <v>1</v>
      </c>
      <c r="J43" s="25" t="s">
        <v>76</v>
      </c>
      <c r="K43" s="4">
        <v>1</v>
      </c>
      <c r="L43" s="4" t="s">
        <v>110</v>
      </c>
      <c r="M43" s="4">
        <v>1</v>
      </c>
      <c r="N43" s="4" t="s">
        <v>72</v>
      </c>
      <c r="O43" s="4">
        <v>1</v>
      </c>
      <c r="P43" s="4" t="s">
        <v>72</v>
      </c>
      <c r="Q43" s="4">
        <f t="shared" si="0"/>
        <v>1</v>
      </c>
      <c r="R43" s="16"/>
      <c r="S43" s="16"/>
      <c r="T43" s="16"/>
    </row>
    <row r="44" spans="1:20" s="5" customFormat="1" ht="98">
      <c r="A44" s="4">
        <v>43</v>
      </c>
      <c r="B44" s="12" t="s">
        <v>9</v>
      </c>
      <c r="C44" s="12" t="s">
        <v>11</v>
      </c>
      <c r="D44" s="8" t="s">
        <v>11</v>
      </c>
      <c r="E44" s="46" t="s">
        <v>187</v>
      </c>
      <c r="F44" s="46" t="s">
        <v>222</v>
      </c>
      <c r="G44" s="11">
        <v>4</v>
      </c>
      <c r="H44" s="25" t="s">
        <v>70</v>
      </c>
      <c r="I44" s="30">
        <v>3</v>
      </c>
      <c r="J44" s="25" t="s">
        <v>75</v>
      </c>
      <c r="K44" s="4">
        <v>12</v>
      </c>
      <c r="L44" s="4" t="s">
        <v>112</v>
      </c>
      <c r="M44" s="4">
        <v>3</v>
      </c>
      <c r="N44" s="4" t="s">
        <v>73</v>
      </c>
      <c r="O44" s="4">
        <v>2</v>
      </c>
      <c r="P44" s="4" t="s">
        <v>74</v>
      </c>
      <c r="Q44" s="4">
        <f t="shared" si="0"/>
        <v>12</v>
      </c>
      <c r="R44" s="16"/>
      <c r="S44" s="16"/>
      <c r="T44" s="16"/>
    </row>
    <row r="45" spans="1:20" ht="56">
      <c r="A45" s="4">
        <v>44</v>
      </c>
      <c r="B45" s="10" t="s">
        <v>9</v>
      </c>
      <c r="C45" s="10" t="s">
        <v>10</v>
      </c>
      <c r="D45" s="8" t="s">
        <v>109</v>
      </c>
      <c r="E45" s="8" t="s">
        <v>188</v>
      </c>
      <c r="F45" s="8" t="s">
        <v>223</v>
      </c>
      <c r="G45" s="9">
        <v>4</v>
      </c>
      <c r="H45" s="25" t="s">
        <v>70</v>
      </c>
      <c r="I45" s="26">
        <v>4</v>
      </c>
      <c r="J45" s="25" t="s">
        <v>78</v>
      </c>
      <c r="K45" s="4">
        <v>16</v>
      </c>
      <c r="L45" s="4" t="s">
        <v>113</v>
      </c>
      <c r="M45" s="4">
        <v>4</v>
      </c>
      <c r="N45" s="4" t="s">
        <v>70</v>
      </c>
      <c r="O45" s="4">
        <v>2</v>
      </c>
      <c r="P45" s="4" t="s">
        <v>74</v>
      </c>
      <c r="Q45" s="4">
        <f t="shared" si="0"/>
        <v>16</v>
      </c>
    </row>
    <row r="46" spans="1:20" ht="84">
      <c r="A46" s="4">
        <v>45</v>
      </c>
      <c r="B46" s="10" t="s">
        <v>9</v>
      </c>
      <c r="C46" s="10" t="s">
        <v>8</v>
      </c>
      <c r="D46" s="8" t="s">
        <v>88</v>
      </c>
      <c r="E46" s="8" t="s">
        <v>189</v>
      </c>
      <c r="F46" s="8"/>
      <c r="G46" s="9">
        <v>3</v>
      </c>
      <c r="H46" s="25" t="s">
        <v>73</v>
      </c>
      <c r="I46" s="26">
        <v>4</v>
      </c>
      <c r="J46" s="25" t="s">
        <v>78</v>
      </c>
      <c r="K46" s="4">
        <v>12</v>
      </c>
      <c r="L46" s="4" t="s">
        <v>112</v>
      </c>
      <c r="M46" s="4">
        <v>3</v>
      </c>
      <c r="N46" s="4" t="s">
        <v>73</v>
      </c>
      <c r="O46" s="4">
        <v>2</v>
      </c>
      <c r="P46" s="4" t="s">
        <v>74</v>
      </c>
      <c r="Q46" s="4">
        <f t="shared" si="0"/>
        <v>12</v>
      </c>
    </row>
    <row r="47" spans="1:20" ht="42">
      <c r="A47" s="4">
        <v>46</v>
      </c>
      <c r="B47" s="8" t="s">
        <v>1</v>
      </c>
      <c r="C47" s="7" t="s">
        <v>7</v>
      </c>
      <c r="D47" s="8" t="s">
        <v>99</v>
      </c>
      <c r="E47" s="8" t="s">
        <v>190</v>
      </c>
      <c r="F47" s="8" t="s">
        <v>224</v>
      </c>
      <c r="G47" s="1">
        <v>3</v>
      </c>
      <c r="H47" s="25" t="s">
        <v>73</v>
      </c>
      <c r="I47" s="25">
        <v>3</v>
      </c>
      <c r="J47" s="25" t="s">
        <v>75</v>
      </c>
      <c r="K47" s="4">
        <v>9</v>
      </c>
      <c r="L47" s="4" t="s">
        <v>111</v>
      </c>
      <c r="M47" s="4">
        <v>2</v>
      </c>
      <c r="N47" s="4" t="s">
        <v>74</v>
      </c>
      <c r="O47" s="4">
        <v>3</v>
      </c>
      <c r="P47" s="4" t="s">
        <v>73</v>
      </c>
      <c r="Q47" s="4">
        <f t="shared" si="0"/>
        <v>9</v>
      </c>
    </row>
    <row r="48" spans="1:20" ht="42">
      <c r="A48" s="4">
        <v>47</v>
      </c>
      <c r="B48" s="3" t="s">
        <v>1</v>
      </c>
      <c r="C48" s="2" t="s">
        <v>6</v>
      </c>
      <c r="D48" s="8" t="s">
        <v>100</v>
      </c>
      <c r="E48" s="8" t="s">
        <v>191</v>
      </c>
      <c r="F48" s="8"/>
      <c r="G48" s="1">
        <v>3</v>
      </c>
      <c r="H48" s="25" t="s">
        <v>73</v>
      </c>
      <c r="I48" s="25">
        <v>3</v>
      </c>
      <c r="J48" s="25" t="s">
        <v>75</v>
      </c>
      <c r="K48" s="4">
        <v>9</v>
      </c>
      <c r="L48" s="4" t="s">
        <v>111</v>
      </c>
      <c r="M48" s="4">
        <v>2</v>
      </c>
      <c r="N48" s="4" t="s">
        <v>74</v>
      </c>
      <c r="O48" s="4">
        <v>3</v>
      </c>
      <c r="P48" s="4" t="s">
        <v>73</v>
      </c>
      <c r="Q48" s="4">
        <f t="shared" si="0"/>
        <v>9</v>
      </c>
    </row>
    <row r="49" spans="1:20" ht="28">
      <c r="A49" s="4">
        <v>48</v>
      </c>
      <c r="B49" s="3" t="s">
        <v>1</v>
      </c>
      <c r="C49" s="2" t="s">
        <v>5</v>
      </c>
      <c r="D49" s="8" t="s">
        <v>101</v>
      </c>
      <c r="E49" s="8" t="s">
        <v>192</v>
      </c>
      <c r="F49" s="8"/>
      <c r="G49" s="1">
        <v>3</v>
      </c>
      <c r="H49" s="25" t="s">
        <v>73</v>
      </c>
      <c r="I49" s="25">
        <v>3</v>
      </c>
      <c r="J49" s="25" t="s">
        <v>75</v>
      </c>
      <c r="K49" s="4">
        <v>9</v>
      </c>
      <c r="L49" s="4" t="s">
        <v>111</v>
      </c>
      <c r="M49" s="4">
        <v>2</v>
      </c>
      <c r="N49" s="4" t="s">
        <v>74</v>
      </c>
      <c r="O49" s="4">
        <v>3</v>
      </c>
      <c r="P49" s="4" t="s">
        <v>73</v>
      </c>
      <c r="Q49" s="4">
        <f t="shared" si="0"/>
        <v>9</v>
      </c>
    </row>
    <row r="50" spans="1:20" s="5" customFormat="1" ht="56">
      <c r="A50" s="4">
        <v>49</v>
      </c>
      <c r="B50" s="3" t="s">
        <v>1</v>
      </c>
      <c r="C50" s="6" t="s">
        <v>4</v>
      </c>
      <c r="D50" s="8" t="s">
        <v>102</v>
      </c>
      <c r="E50" s="8" t="s">
        <v>193</v>
      </c>
      <c r="F50" s="8"/>
      <c r="G50" s="1">
        <v>3</v>
      </c>
      <c r="H50" s="25" t="s">
        <v>73</v>
      </c>
      <c r="I50" s="25">
        <v>3</v>
      </c>
      <c r="J50" s="25" t="s">
        <v>75</v>
      </c>
      <c r="K50" s="4">
        <v>9</v>
      </c>
      <c r="L50" s="4" t="s">
        <v>111</v>
      </c>
      <c r="M50" s="4">
        <v>2</v>
      </c>
      <c r="N50" s="4" t="s">
        <v>74</v>
      </c>
      <c r="O50" s="4">
        <v>3</v>
      </c>
      <c r="P50" s="4" t="s">
        <v>73</v>
      </c>
      <c r="Q50" s="4">
        <f t="shared" si="0"/>
        <v>9</v>
      </c>
      <c r="R50" s="16"/>
      <c r="S50" s="16"/>
      <c r="T50" s="16"/>
    </row>
    <row r="51" spans="1:20" s="5" customFormat="1">
      <c r="A51" s="4">
        <v>50</v>
      </c>
      <c r="B51" s="3" t="s">
        <v>1</v>
      </c>
      <c r="C51" s="6" t="s">
        <v>3</v>
      </c>
      <c r="D51" s="8" t="s">
        <v>105</v>
      </c>
      <c r="E51" s="8"/>
      <c r="F51" s="8"/>
      <c r="G51" s="1">
        <v>3</v>
      </c>
      <c r="H51" s="25" t="s">
        <v>73</v>
      </c>
      <c r="I51" s="25">
        <v>3</v>
      </c>
      <c r="J51" s="25" t="s">
        <v>75</v>
      </c>
      <c r="K51" s="4">
        <v>9</v>
      </c>
      <c r="L51" s="4" t="s">
        <v>111</v>
      </c>
      <c r="M51" s="4">
        <v>2</v>
      </c>
      <c r="N51" s="4" t="s">
        <v>74</v>
      </c>
      <c r="O51" s="4">
        <v>3</v>
      </c>
      <c r="P51" s="4" t="s">
        <v>73</v>
      </c>
      <c r="Q51" s="4">
        <f t="shared" si="0"/>
        <v>9</v>
      </c>
      <c r="R51" s="16"/>
      <c r="S51" s="16"/>
      <c r="T51" s="16"/>
    </row>
    <row r="52" spans="1:20" s="5" customFormat="1">
      <c r="A52" s="4">
        <v>51</v>
      </c>
      <c r="B52" s="3" t="s">
        <v>1</v>
      </c>
      <c r="C52" s="2" t="s">
        <v>2</v>
      </c>
      <c r="D52" s="8" t="s">
        <v>103</v>
      </c>
      <c r="E52" s="8"/>
      <c r="F52" s="8"/>
      <c r="G52" s="1">
        <v>3</v>
      </c>
      <c r="H52" s="25" t="s">
        <v>73</v>
      </c>
      <c r="I52" s="25">
        <v>3</v>
      </c>
      <c r="J52" s="25" t="s">
        <v>75</v>
      </c>
      <c r="K52" s="4">
        <v>9</v>
      </c>
      <c r="L52" s="4" t="s">
        <v>111</v>
      </c>
      <c r="M52" s="4">
        <v>2</v>
      </c>
      <c r="N52" s="4" t="s">
        <v>74</v>
      </c>
      <c r="O52" s="4">
        <v>3</v>
      </c>
      <c r="P52" s="4" t="s">
        <v>73</v>
      </c>
      <c r="Q52" s="4">
        <f t="shared" si="0"/>
        <v>9</v>
      </c>
      <c r="R52" s="16"/>
      <c r="S52" s="16"/>
      <c r="T52" s="16"/>
    </row>
    <row r="53" spans="1:20">
      <c r="A53" s="4">
        <v>52</v>
      </c>
      <c r="B53" s="3" t="s">
        <v>1</v>
      </c>
      <c r="C53" s="2" t="s">
        <v>0</v>
      </c>
      <c r="D53" s="8" t="s">
        <v>104</v>
      </c>
      <c r="E53" s="8"/>
      <c r="F53" s="8"/>
      <c r="G53" s="1">
        <v>3</v>
      </c>
      <c r="H53" s="25" t="s">
        <v>73</v>
      </c>
      <c r="I53" s="25">
        <v>3</v>
      </c>
      <c r="J53" s="25" t="s">
        <v>75</v>
      </c>
      <c r="K53" s="4">
        <v>9</v>
      </c>
      <c r="L53" s="4" t="s">
        <v>111</v>
      </c>
      <c r="M53" s="4">
        <v>2</v>
      </c>
      <c r="N53" s="4" t="s">
        <v>74</v>
      </c>
      <c r="O53" s="4">
        <v>3</v>
      </c>
      <c r="P53" s="4" t="s">
        <v>73</v>
      </c>
      <c r="Q53" s="4">
        <f t="shared" si="0"/>
        <v>9</v>
      </c>
    </row>
  </sheetData>
  <autoFilter ref="A1:Q53"/>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24"/>
  <sheetViews>
    <sheetView workbookViewId="0">
      <selection activeCell="E10" sqref="E10"/>
    </sheetView>
  </sheetViews>
  <sheetFormatPr defaultRowHeight="14"/>
  <cols>
    <col min="1" max="1" width="5.75" bestFit="1" customWidth="1"/>
    <col min="2" max="2" width="12.75" bestFit="1" customWidth="1"/>
    <col min="3" max="3" width="111" bestFit="1" customWidth="1"/>
  </cols>
  <sheetData>
    <row r="1" spans="1:3">
      <c r="A1" s="48" t="s">
        <v>121</v>
      </c>
      <c r="B1" s="48"/>
      <c r="C1" s="48"/>
    </row>
    <row r="2" spans="1:3" ht="14.5">
      <c r="A2" s="47" t="s">
        <v>122</v>
      </c>
      <c r="B2" s="47"/>
      <c r="C2" s="47"/>
    </row>
    <row r="3" spans="1:3">
      <c r="A3" s="41" t="s">
        <v>123</v>
      </c>
      <c r="B3" s="41" t="s">
        <v>124</v>
      </c>
      <c r="C3" s="41" t="s">
        <v>125</v>
      </c>
    </row>
    <row r="4" spans="1:3">
      <c r="A4" s="40">
        <v>1</v>
      </c>
      <c r="B4" s="40" t="s">
        <v>76</v>
      </c>
      <c r="C4" s="42" t="s">
        <v>126</v>
      </c>
    </row>
    <row r="5" spans="1:3">
      <c r="A5" s="40">
        <v>2</v>
      </c>
      <c r="B5" s="40" t="s">
        <v>77</v>
      </c>
      <c r="C5" s="42" t="s">
        <v>127</v>
      </c>
    </row>
    <row r="6" spans="1:3">
      <c r="A6" s="40">
        <v>3</v>
      </c>
      <c r="B6" s="40" t="s">
        <v>75</v>
      </c>
      <c r="C6" s="42" t="s">
        <v>128</v>
      </c>
    </row>
    <row r="7" spans="1:3">
      <c r="A7" s="40">
        <v>4</v>
      </c>
      <c r="B7" s="40" t="s">
        <v>78</v>
      </c>
      <c r="C7" s="42" t="s">
        <v>129</v>
      </c>
    </row>
    <row r="8" spans="1:3">
      <c r="A8" s="40">
        <v>5</v>
      </c>
      <c r="B8" s="40" t="s">
        <v>79</v>
      </c>
      <c r="C8" s="42" t="s">
        <v>130</v>
      </c>
    </row>
    <row r="9" spans="1:3">
      <c r="A9" s="48" t="s">
        <v>131</v>
      </c>
      <c r="B9" s="48"/>
      <c r="C9" s="48"/>
    </row>
    <row r="10" spans="1:3" ht="14.5">
      <c r="A10" s="47" t="s">
        <v>132</v>
      </c>
      <c r="B10" s="47"/>
      <c r="C10" s="47"/>
    </row>
    <row r="11" spans="1:3">
      <c r="A11" s="41" t="s">
        <v>123</v>
      </c>
      <c r="B11" s="41" t="s">
        <v>124</v>
      </c>
      <c r="C11" s="41" t="s">
        <v>125</v>
      </c>
    </row>
    <row r="12" spans="1:3">
      <c r="A12" s="40">
        <v>1</v>
      </c>
      <c r="B12" s="40" t="s">
        <v>72</v>
      </c>
      <c r="C12" s="43" t="s">
        <v>133</v>
      </c>
    </row>
    <row r="13" spans="1:3">
      <c r="A13" s="40">
        <v>2</v>
      </c>
      <c r="B13" s="40" t="s">
        <v>74</v>
      </c>
      <c r="C13" s="43" t="s">
        <v>134</v>
      </c>
    </row>
    <row r="14" spans="1:3">
      <c r="A14" s="40">
        <v>3</v>
      </c>
      <c r="B14" s="40" t="s">
        <v>73</v>
      </c>
      <c r="C14" s="43" t="s">
        <v>135</v>
      </c>
    </row>
    <row r="15" spans="1:3" ht="28">
      <c r="A15" s="40">
        <v>4</v>
      </c>
      <c r="B15" s="40" t="s">
        <v>70</v>
      </c>
      <c r="C15" s="44" t="s">
        <v>136</v>
      </c>
    </row>
    <row r="16" spans="1:3" ht="28">
      <c r="A16" s="40">
        <v>5</v>
      </c>
      <c r="B16" s="40" t="s">
        <v>71</v>
      </c>
      <c r="C16" s="44" t="s">
        <v>137</v>
      </c>
    </row>
    <row r="17" spans="1:3">
      <c r="A17" s="48" t="s">
        <v>82</v>
      </c>
      <c r="B17" s="48"/>
      <c r="C17" s="48"/>
    </row>
    <row r="18" spans="1:3" ht="14.5">
      <c r="A18" s="47" t="s">
        <v>138</v>
      </c>
      <c r="B18" s="47"/>
      <c r="C18" s="47"/>
    </row>
    <row r="19" spans="1:3">
      <c r="A19" s="41" t="s">
        <v>123</v>
      </c>
      <c r="B19" s="41" t="s">
        <v>124</v>
      </c>
      <c r="C19" s="41" t="s">
        <v>125</v>
      </c>
    </row>
    <row r="20" spans="1:3">
      <c r="A20" s="40">
        <v>1</v>
      </c>
      <c r="B20" s="40" t="s">
        <v>72</v>
      </c>
      <c r="C20" s="43" t="s">
        <v>139</v>
      </c>
    </row>
    <row r="21" spans="1:3" ht="28">
      <c r="A21" s="40">
        <v>2</v>
      </c>
      <c r="B21" s="40" t="s">
        <v>74</v>
      </c>
      <c r="C21" s="44" t="s">
        <v>140</v>
      </c>
    </row>
    <row r="22" spans="1:3" ht="28">
      <c r="A22" s="40">
        <v>3</v>
      </c>
      <c r="B22" s="40" t="s">
        <v>73</v>
      </c>
      <c r="C22" s="44" t="s">
        <v>141</v>
      </c>
    </row>
    <row r="23" spans="1:3" ht="28">
      <c r="A23" s="40">
        <v>4</v>
      </c>
      <c r="B23" s="40" t="s">
        <v>84</v>
      </c>
      <c r="C23" s="44" t="s">
        <v>142</v>
      </c>
    </row>
    <row r="24" spans="1:3" ht="42">
      <c r="A24" s="40">
        <v>5</v>
      </c>
      <c r="B24" s="45" t="s">
        <v>85</v>
      </c>
      <c r="C24" s="18" t="s">
        <v>143</v>
      </c>
    </row>
  </sheetData>
  <mergeCells count="6">
    <mergeCell ref="A18:C18"/>
    <mergeCell ref="A1:C1"/>
    <mergeCell ref="A2:C2"/>
    <mergeCell ref="A9:C9"/>
    <mergeCell ref="A10:C10"/>
    <mergeCell ref="A17:C17"/>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Risk Assessment</vt:lpstr>
      <vt:lpstr>Rating Criteria</vt:lpstr>
    </vt:vector>
  </TitlesOfParts>
  <Company>Medline Industries,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Adebayo, Oluwabusayo</dc:creator>
  <cp:lastModifiedBy>Muhammad Arslan</cp:lastModifiedBy>
  <dcterms:created xsi:type="dcterms:W3CDTF">2024-06-12T20:13:03Z</dcterms:created>
  <dcterms:modified xsi:type="dcterms:W3CDTF">2024-06-26T14:48:25Z</dcterms:modified>
</cp:coreProperties>
</file>